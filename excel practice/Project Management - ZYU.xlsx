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zyu\Downloads\"/>
    </mc:Choice>
  </mc:AlternateContent>
  <xr:revisionPtr revIDLastSave="0" documentId="13_ncr:1_{3F1F2CD8-F624-4A6D-A4C0-E041BA7D079D}" xr6:coauthVersionLast="47" xr6:coauthVersionMax="47" xr10:uidLastSave="{00000000-0000-0000-0000-000000000000}"/>
  <bookViews>
    <workbookView xWindow="38280" yWindow="-60" windowWidth="38640" windowHeight="21120" xr2:uid="{FCBE89DE-6888-4552-B510-98A1FDEA3975}"/>
  </bookViews>
  <sheets>
    <sheet name="Pivot Table" sheetId="2" r:id="rId1"/>
    <sheet name="Project Management" sheetId="1" r:id="rId2"/>
  </sheets>
  <definedNames>
    <definedName name="Slicer_Assigned_To">#N/A</definedName>
  </definedNames>
  <calcPr calcId="191029"/>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alcChain>
</file>

<file path=xl/sharedStrings.xml><?xml version="1.0" encoding="utf-8"?>
<sst xmlns="http://schemas.openxmlformats.org/spreadsheetml/2006/main" count="5025" uniqueCount="134">
  <si>
    <t>Project Name</t>
  </si>
  <si>
    <t>Task Name</t>
  </si>
  <si>
    <t>Assigned To</t>
  </si>
  <si>
    <t>Priority</t>
  </si>
  <si>
    <t>Planned Start Date</t>
  </si>
  <si>
    <t>Planned End Date</t>
  </si>
  <si>
    <t>Actual End Date</t>
  </si>
  <si>
    <t>% Complete</t>
  </si>
  <si>
    <t>Planned Budget</t>
  </si>
  <si>
    <t>Actual Cost</t>
  </si>
  <si>
    <t>Status</t>
  </si>
  <si>
    <t>Compliance Overhaul</t>
  </si>
  <si>
    <t>Deployment Planning</t>
  </si>
  <si>
    <t>Chris Evans</t>
  </si>
  <si>
    <t>Medium</t>
  </si>
  <si>
    <t>Completed</t>
  </si>
  <si>
    <t>Marketing Automation</t>
  </si>
  <si>
    <t>Bug Fixes</t>
  </si>
  <si>
    <t>Brian Taylor</t>
  </si>
  <si>
    <t>Delayed</t>
  </si>
  <si>
    <t>Security Audit</t>
  </si>
  <si>
    <t>Competitive Analysis</t>
  </si>
  <si>
    <t>Elena Rodriguez</t>
  </si>
  <si>
    <t>Low</t>
  </si>
  <si>
    <t>Email Platform Migration</t>
  </si>
  <si>
    <t>Budget Review</t>
  </si>
  <si>
    <t>Rachel Thompson</t>
  </si>
  <si>
    <t>Cancelled</t>
  </si>
  <si>
    <t>Natasha Singh</t>
  </si>
  <si>
    <t>Inventory System</t>
  </si>
  <si>
    <t>Risk Assessment</t>
  </si>
  <si>
    <t>Hannah White</t>
  </si>
  <si>
    <t>Critical</t>
  </si>
  <si>
    <t>Onboarding Automation</t>
  </si>
  <si>
    <t>System Configuration</t>
  </si>
  <si>
    <t>Emily Davis</t>
  </si>
  <si>
    <t>High</t>
  </si>
  <si>
    <t>Budget Planning Tool</t>
  </si>
  <si>
    <t>A/B Testing Setup</t>
  </si>
  <si>
    <t>Jennifer Lee</t>
  </si>
  <si>
    <t>SEO Optimization</t>
  </si>
  <si>
    <t>James Wilson</t>
  </si>
  <si>
    <t>Analytics Dashboard</t>
  </si>
  <si>
    <t>Frontend Development</t>
  </si>
  <si>
    <t>Kevin O'Brien</t>
  </si>
  <si>
    <t>Website Redesign</t>
  </si>
  <si>
    <t>API Development</t>
  </si>
  <si>
    <t>Jessica Turner</t>
  </si>
  <si>
    <t>Not Started</t>
  </si>
  <si>
    <t>User Training</t>
  </si>
  <si>
    <t>Customer Portal</t>
  </si>
  <si>
    <t>User Acceptance Testing</t>
  </si>
  <si>
    <t>Lisa Wang</t>
  </si>
  <si>
    <t>Office Relocation</t>
  </si>
  <si>
    <t>Amanda Foster</t>
  </si>
  <si>
    <t>Chatbot Development</t>
  </si>
  <si>
    <t>Content Creation</t>
  </si>
  <si>
    <t>Supply Chain Optimization</t>
  </si>
  <si>
    <t>Performance Testing</t>
  </si>
  <si>
    <t>Wireframing</t>
  </si>
  <si>
    <t>Marcus Johnson</t>
  </si>
  <si>
    <t>Robert Garcia</t>
  </si>
  <si>
    <t>Cloud Infrastructure</t>
  </si>
  <si>
    <t>Requirements Gathering</t>
  </si>
  <si>
    <t>Technical Architecture</t>
  </si>
  <si>
    <t>In Progress</t>
  </si>
  <si>
    <t>CRM Migration</t>
  </si>
  <si>
    <t>Stephanie Adams</t>
  </si>
  <si>
    <t>Performance Review System</t>
  </si>
  <si>
    <t>Quality Assurance</t>
  </si>
  <si>
    <t>Retrospective</t>
  </si>
  <si>
    <t>Daniel Park</t>
  </si>
  <si>
    <t>Social Media Revamp</t>
  </si>
  <si>
    <t>Data Migration</t>
  </si>
  <si>
    <t>Post-Launch Review</t>
  </si>
  <si>
    <t>Go-Live Preparation</t>
  </si>
  <si>
    <t>Code Review</t>
  </si>
  <si>
    <t>Annual Report</t>
  </si>
  <si>
    <t>Integration Testing</t>
  </si>
  <si>
    <t>Mobile App Launch</t>
  </si>
  <si>
    <t>Stakeholder Interviews</t>
  </si>
  <si>
    <t>ERP Implementation</t>
  </si>
  <si>
    <t>Compliance Check</t>
  </si>
  <si>
    <t>Product Launch Q2</t>
  </si>
  <si>
    <t>Backup Configuration</t>
  </si>
  <si>
    <t>Analytics Integration</t>
  </si>
  <si>
    <t>Feedback Collection</t>
  </si>
  <si>
    <t>Carlos Mendez</t>
  </si>
  <si>
    <t>Accessibility Audit</t>
  </si>
  <si>
    <t>Training Materials</t>
  </si>
  <si>
    <t>Database Design</t>
  </si>
  <si>
    <t>Training Platform</t>
  </si>
  <si>
    <t>Monitoring Setup</t>
  </si>
  <si>
    <t>Status Reporting</t>
  </si>
  <si>
    <t>On Hold</t>
  </si>
  <si>
    <t>Security Review</t>
  </si>
  <si>
    <t>Unit Testing</t>
  </si>
  <si>
    <t>Tom Mitchell</t>
  </si>
  <si>
    <t>Documentation</t>
  </si>
  <si>
    <t>Product Launch Q1</t>
  </si>
  <si>
    <t>Olivia Martinez</t>
  </si>
  <si>
    <t>Infrastructure Setup</t>
  </si>
  <si>
    <t>Market Research</t>
  </si>
  <si>
    <t>Brand Refresh</t>
  </si>
  <si>
    <t>Payment Integration</t>
  </si>
  <si>
    <t>Michael Brown</t>
  </si>
  <si>
    <t>David Kim</t>
  </si>
  <si>
    <t>HR System Upgrade</t>
  </si>
  <si>
    <t>Change Management</t>
  </si>
  <si>
    <t>Data Warehouse Build</t>
  </si>
  <si>
    <t>Communication Plan</t>
  </si>
  <si>
    <t>Priya Patel</t>
  </si>
  <si>
    <t>Sarah Chen</t>
  </si>
  <si>
    <t>Ahmed Hassan</t>
  </si>
  <si>
    <t>Asset Design</t>
  </si>
  <si>
    <t>Iteration Planning</t>
  </si>
  <si>
    <t>Contract Negotiation</t>
  </si>
  <si>
    <t>Optimization</t>
  </si>
  <si>
    <t>Vendor Portal</t>
  </si>
  <si>
    <t>Vendor Evaluation</t>
  </si>
  <si>
    <t>API Gateway</t>
  </si>
  <si>
    <t>DevOps Pipeline</t>
  </si>
  <si>
    <t>Prototype Development</t>
  </si>
  <si>
    <t>Backend Development</t>
  </si>
  <si>
    <t>UI/UX Design</t>
  </si>
  <si>
    <t>Sprint Planning</t>
  </si>
  <si>
    <t>Cost Variance</t>
  </si>
  <si>
    <t>Budget Status</t>
  </si>
  <si>
    <t>Timeline</t>
  </si>
  <si>
    <t>Row Labels</t>
  </si>
  <si>
    <t>Grand Total</t>
  </si>
  <si>
    <t>Sum of Planned Budget</t>
  </si>
  <si>
    <t>Sum of Actual Cost</t>
  </si>
  <si>
    <t>Sum of Cost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</si>
</sst>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Aptos Narrow"/>
      <family val="2"/>
      <scheme val="minor"/>
    </font>
    <font>
      <b/>
      <sz val="11"/>
      <color rgb="FFFFFFFF"/>
      <name val="Aptos Narrow"/>
      <family val="2"/>
      <scheme val="minor"/>
    </font>
  </fonts>
  <fills count="4">
    <fill>
      <patternFill patternType="none"/>
    </fill>
    <fill>
      <patternFill patternType="gray125"/>
    </fill>
    <fill>
      <patternFill patternType="solid">
        <fgColor rgb="FF4472C4"/>
        <bgColor indexed="64"/>
      </patternFill>
    </fill>
    <fill>
      <patternFill patternType="solid">
        <fgColor theme="1"/>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14" fontId="0" fillId="0" borderId="0" xfId="0" applyNumberFormat="1"/>
    <xf numFmtId="9" fontId="0" fillId="0" borderId="0" xfId="0" applyNumberFormat="1"/>
    <xf numFmtId="164" fontId="0" fillId="0" borderId="0" xfId="0" applyNumberFormat="1"/>
    <xf numFmtId="0" fontId="1" fillId="3" borderId="0" xfId="0" applyFont="1" applyFill="1" applyAlignment="1">
      <alignment horizontal="center"/>
    </xf>
    <xf numFmtId="0" fontId="0" fillId="0" borderId="0" xfId="0" pivotButton="1"/>
    <xf numFmtId="0" fontId="0" fillId="0" borderId="0" xfId="0"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4</xdr:col>
      <xdr:colOff>217682</xdr:colOff>
      <xdr:row>1</xdr:row>
      <xdr:rowOff>171217</xdr:rowOff>
    </xdr:from>
    <xdr:to>
      <xdr:col>7</xdr:col>
      <xdr:colOff>220470</xdr:colOff>
      <xdr:row>15</xdr:row>
      <xdr:rowOff>171217</xdr:rowOff>
    </xdr:to>
    <mc:AlternateContent xmlns:mc="http://schemas.openxmlformats.org/markup-compatibility/2006">
      <mc:Choice xmlns:a14="http://schemas.microsoft.com/office/drawing/2010/main" Requires="a14">
        <xdr:graphicFrame macro="">
          <xdr:nvGraphicFramePr>
            <xdr:cNvPr id="2" name="Assigned To">
              <a:extLst>
                <a:ext uri="{FF2B5EF4-FFF2-40B4-BE49-F238E27FC236}">
                  <a16:creationId xmlns:a16="http://schemas.microsoft.com/office/drawing/2014/main" id="{4ED81837-DA1A-B9D2-B486-49ADCC1F908B}"/>
                </a:ext>
              </a:extLst>
            </xdr:cNvPr>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dr:sp macro="" textlink="">
          <xdr:nvSpPr>
            <xdr:cNvPr id="0" name=""/>
            <xdr:cNvSpPr>
              <a:spLocks noTextEdit="1"/>
            </xdr:cNvSpPr>
          </xdr:nvSpPr>
          <xdr:spPr>
            <a:xfrm>
              <a:off x="5170682" y="361717"/>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cong Yu" refreshedDate="46286.680534490741" createdVersion="8" refreshedVersion="8" minRefreshableVersion="3" recordCount="1000" xr:uid="{93091951-4DDB-417F-BDCE-D7E9507DD8E5}">
  <cacheSource type="worksheet">
    <worksheetSource ref="A1:N1001" sheet="Project Management"/>
  </cacheSource>
  <cacheFields count="14">
    <cacheField name="Project Name" numFmtId="0">
      <sharedItems/>
    </cacheField>
    <cacheField name="Task Name" numFmtId="0">
      <sharedItems/>
    </cacheField>
    <cacheField name="Assigned To" numFmtId="0">
      <sharedItems count="25">
        <s v="Chris Evans"/>
        <s v="Brian Taylor"/>
        <s v="Elena Rodriguez"/>
        <s v="Rachel Thompson"/>
        <s v="Natasha Singh"/>
        <s v="Hannah White"/>
        <s v="Emily Davis"/>
        <s v="Jennifer Lee"/>
        <s v="James Wilson"/>
        <s v="Kevin O'Brien"/>
        <s v="Jessica Turner"/>
        <s v="Lisa Wang"/>
        <s v="Amanda Foster"/>
        <s v="Marcus Johnson"/>
        <s v="Robert Garcia"/>
        <s v="Stephanie Adams"/>
        <s v="Daniel Park"/>
        <s v="Carlos Mendez"/>
        <s v="Tom Mitchell"/>
        <s v="Olivia Martinez"/>
        <s v="Michael Brown"/>
        <s v="David Kim"/>
        <s v="Priya Patel"/>
        <s v="Sarah Chen"/>
        <s v="Ahmed Hassan"/>
      </sharedItems>
    </cacheField>
    <cacheField name="Priority" numFmtId="0">
      <sharedItems/>
    </cacheField>
    <cacheField name="Planned Start Date" numFmtId="14">
      <sharedItems containsSemiMixedTypes="0" containsNonDate="0" containsDate="1" containsString="0" minDate="2024-01-02T00:00:00" maxDate="2025-06-26T00:00:00"/>
    </cacheField>
    <cacheField name="Planned End Date" numFmtId="14">
      <sharedItems containsSemiMixedTypes="0" containsNonDate="0" containsDate="1" containsString="0" minDate="2024-01-14T00:00:00" maxDate="2025-08-24T00:00:00"/>
    </cacheField>
    <cacheField name="Actual End Date" numFmtId="14">
      <sharedItems containsNonDate="0" containsDate="1" containsString="0" containsBlank="1" minDate="2024-01-05T00:00:00" maxDate="2025-04-20T00:00:00"/>
    </cacheField>
    <cacheField name="% Complete" numFmtId="9">
      <sharedItems containsSemiMixedTypes="0" containsString="0" containsNumber="1" minValue="0" maxValue="1"/>
    </cacheField>
    <cacheField name="Planned Budget" numFmtId="164">
      <sharedItems containsSemiMixedTypes="0" containsString="0" containsNumber="1" containsInteger="1" minValue="2000" maxValue="199000"/>
    </cacheField>
    <cacheField name="Actual Cost" numFmtId="164">
      <sharedItems containsSemiMixedTypes="0" containsString="0" containsNumber="1" containsInteger="1" minValue="0" maxValue="198400"/>
    </cacheField>
    <cacheField name="Status" numFmtId="0">
      <sharedItems count="6">
        <s v="Completed"/>
        <s v="Delayed"/>
        <s v="Cancelled"/>
        <s v="Not Started"/>
        <s v="In Progress"/>
        <s v="On Hold"/>
      </sharedItems>
    </cacheField>
    <cacheField name="Cost Variance" numFmtId="164">
      <sharedItems containsSemiMixedTypes="0" containsString="0" containsNumber="1" containsInteger="1" minValue="-49400" maxValue="177000"/>
    </cacheField>
    <cacheField name="Budget Status" numFmtId="0">
      <sharedItems/>
    </cacheField>
    <cacheField name="Timeline" numFmtId="0">
      <sharedItems containsSemiMixedTypes="0" containsString="0" containsNumber="1" containsInteger="1" minValue="-61" maxValue="980"/>
    </cacheField>
  </cacheFields>
  <extLst>
    <ext xmlns:x14="http://schemas.microsoft.com/office/spreadsheetml/2009/9/main" uri="{725AE2AE-9491-48be-B2B4-4EB974FC3084}">
      <x14:pivotCacheDefinition pivotCacheId="932965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ompliance Overhaul"/>
    <s v="Deployment Planning"/>
    <x v="0"/>
    <s v="Medium"/>
    <d v="2024-04-05T00:00:00"/>
    <d v="2024-04-27T00:00:00"/>
    <d v="2024-05-24T00:00:00"/>
    <n v="1"/>
    <n v="40000"/>
    <n v="40800"/>
    <x v="0"/>
    <n v="-800"/>
    <s v="Over Budget"/>
    <n v="27"/>
  </r>
  <r>
    <s v="Marketing Automation"/>
    <s v="Bug Fixes"/>
    <x v="1"/>
    <s v="Medium"/>
    <d v="2024-01-04T00:00:00"/>
    <d v="2024-01-24T00:00:00"/>
    <m/>
    <n v="0.23"/>
    <n v="34000"/>
    <n v="17900"/>
    <x v="1"/>
    <n v="16100"/>
    <s v="Within Budget"/>
    <n v="971"/>
  </r>
  <r>
    <s v="Security Audit"/>
    <s v="Competitive Analysis"/>
    <x v="2"/>
    <s v="Low"/>
    <d v="2024-10-14T00:00:00"/>
    <d v="2024-10-21T00:00:00"/>
    <d v="2024-10-24T00:00:00"/>
    <n v="1"/>
    <n v="2000"/>
    <n v="1800"/>
    <x v="0"/>
    <n v="200"/>
    <s v="Within Budget"/>
    <n v="3"/>
  </r>
  <r>
    <s v="Email Platform Migration"/>
    <s v="Budget Review"/>
    <x v="3"/>
    <s v="Medium"/>
    <d v="2024-04-24T00:00:00"/>
    <d v="2024-05-09T00:00:00"/>
    <d v="2024-04-28T00:00:00"/>
    <n v="0.3"/>
    <n v="18000"/>
    <n v="2700"/>
    <x v="2"/>
    <n v="15300"/>
    <s v="Within Budget"/>
    <n v="-11"/>
  </r>
  <r>
    <s v="Security Audit"/>
    <s v="Competitive Analysis"/>
    <x v="4"/>
    <s v="Medium"/>
    <d v="2025-01-10T00:00:00"/>
    <d v="2025-02-12T00:00:00"/>
    <d v="2025-02-11T00:00:00"/>
    <n v="1"/>
    <n v="31000"/>
    <n v="32500"/>
    <x v="0"/>
    <n v="-1500"/>
    <s v="Over Budget"/>
    <n v="-1"/>
  </r>
  <r>
    <s v="Inventory System"/>
    <s v="Risk Assessment"/>
    <x v="5"/>
    <s v="Critical"/>
    <d v="2025-01-25T00:00:00"/>
    <d v="2025-02-28T00:00:00"/>
    <d v="2025-02-25T00:00:00"/>
    <n v="1"/>
    <n v="100000"/>
    <n v="116000"/>
    <x v="0"/>
    <n v="-16000"/>
    <s v="Over Budget"/>
    <n v="-3"/>
  </r>
  <r>
    <s v="Onboarding Automation"/>
    <s v="System Configuration"/>
    <x v="6"/>
    <s v="High"/>
    <d v="2024-11-19T00:00:00"/>
    <d v="2024-12-05T00:00:00"/>
    <d v="2024-11-23T00:00:00"/>
    <n v="0.1"/>
    <n v="44000"/>
    <n v="12900"/>
    <x v="2"/>
    <n v="31100"/>
    <s v="Within Budget"/>
    <n v="-12"/>
  </r>
  <r>
    <s v="Budget Planning Tool"/>
    <s v="A/B Testing Setup"/>
    <x v="7"/>
    <s v="Medium"/>
    <d v="2024-06-10T00:00:00"/>
    <d v="2024-06-19T00:00:00"/>
    <d v="2024-06-14T00:00:00"/>
    <n v="0.1"/>
    <n v="14000"/>
    <n v="1200"/>
    <x v="2"/>
    <n v="12800"/>
    <s v="Within Budget"/>
    <n v="-5"/>
  </r>
  <r>
    <s v="Inventory System"/>
    <s v="SEO Optimization"/>
    <x v="8"/>
    <s v="Low"/>
    <d v="2024-04-07T00:00:00"/>
    <d v="2024-05-04T00:00:00"/>
    <d v="2024-04-13T00:00:00"/>
    <n v="0.1"/>
    <n v="16000"/>
    <n v="4500"/>
    <x v="2"/>
    <n v="11500"/>
    <s v="Within Budget"/>
    <n v="-21"/>
  </r>
  <r>
    <s v="Analytics Dashboard"/>
    <s v="Frontend Development"/>
    <x v="9"/>
    <s v="Low"/>
    <d v="2024-06-26T00:00:00"/>
    <d v="2024-09-12T00:00:00"/>
    <d v="2024-09-23T00:00:00"/>
    <n v="1"/>
    <n v="149000"/>
    <n v="198400"/>
    <x v="0"/>
    <n v="-49400"/>
    <s v="Over Budget"/>
    <n v="11"/>
  </r>
  <r>
    <s v="Onboarding Automation"/>
    <s v="Frontend Development"/>
    <x v="9"/>
    <s v="Medium"/>
    <d v="2024-04-10T00:00:00"/>
    <d v="2024-05-12T00:00:00"/>
    <d v="2024-04-15T00:00:00"/>
    <n v="0.25"/>
    <n v="49000"/>
    <n v="8200"/>
    <x v="2"/>
    <n v="40800"/>
    <s v="Within Budget"/>
    <n v="-27"/>
  </r>
  <r>
    <s v="Website Redesign"/>
    <s v="API Development"/>
    <x v="10"/>
    <s v="Medium"/>
    <d v="2025-06-19T00:00:00"/>
    <d v="2025-06-30T00:00:00"/>
    <m/>
    <n v="0"/>
    <n v="32000"/>
    <n v="0"/>
    <x v="3"/>
    <n v="32000"/>
    <s v="Within Budget"/>
    <n v="448"/>
  </r>
  <r>
    <s v="Security Audit"/>
    <s v="User Training"/>
    <x v="7"/>
    <s v="Medium"/>
    <d v="2025-01-07T00:00:00"/>
    <d v="2025-01-25T00:00:00"/>
    <d v="2025-02-07T00:00:00"/>
    <n v="1"/>
    <n v="34000"/>
    <n v="33300"/>
    <x v="0"/>
    <n v="700"/>
    <s v="Within Budget"/>
    <n v="13"/>
  </r>
  <r>
    <s v="Customer Portal"/>
    <s v="User Acceptance Testing"/>
    <x v="11"/>
    <s v="Medium"/>
    <d v="2024-04-30T00:00:00"/>
    <d v="2024-05-11T00:00:00"/>
    <d v="2024-05-01T00:00:00"/>
    <n v="0.1"/>
    <n v="22000"/>
    <n v="1400"/>
    <x v="2"/>
    <n v="20600"/>
    <s v="Within Budget"/>
    <n v="-10"/>
  </r>
  <r>
    <s v="Office Relocation"/>
    <s v="Frontend Development"/>
    <x v="12"/>
    <s v="Medium"/>
    <d v="2025-01-21T00:00:00"/>
    <d v="2025-04-16T00:00:00"/>
    <m/>
    <n v="0.48"/>
    <n v="81000"/>
    <n v="96700"/>
    <x v="1"/>
    <n v="-15700"/>
    <s v="Over Budget"/>
    <n v="523"/>
  </r>
  <r>
    <s v="Chatbot Development"/>
    <s v="Content Creation"/>
    <x v="5"/>
    <s v="Medium"/>
    <d v="2024-03-21T00:00:00"/>
    <d v="2024-04-14T00:00:00"/>
    <d v="2024-03-26T00:00:00"/>
    <n v="0.1"/>
    <n v="32000"/>
    <n v="12600"/>
    <x v="2"/>
    <n v="19400"/>
    <s v="Within Budget"/>
    <n v="-19"/>
  </r>
  <r>
    <s v="Inventory System"/>
    <s v="Content Creation"/>
    <x v="0"/>
    <s v="Medium"/>
    <d v="2024-01-30T00:00:00"/>
    <d v="2024-02-08T00:00:00"/>
    <d v="2024-03-24T00:00:00"/>
    <n v="1"/>
    <n v="10000"/>
    <n v="13100"/>
    <x v="0"/>
    <n v="-3100"/>
    <s v="Over Budget"/>
    <n v="45"/>
  </r>
  <r>
    <s v="Supply Chain Optimization"/>
    <s v="Budget Review"/>
    <x v="11"/>
    <s v="Medium"/>
    <d v="2025-04-21T00:00:00"/>
    <d v="2025-05-17T00:00:00"/>
    <m/>
    <n v="0"/>
    <n v="48000"/>
    <n v="0"/>
    <x v="3"/>
    <n v="48000"/>
    <s v="Within Budget"/>
    <n v="492"/>
  </r>
  <r>
    <s v="Compliance Overhaul"/>
    <s v="Performance Testing"/>
    <x v="0"/>
    <s v="High"/>
    <d v="2024-07-17T00:00:00"/>
    <d v="2024-07-24T00:00:00"/>
    <d v="2024-07-28T00:00:00"/>
    <n v="1"/>
    <n v="11000"/>
    <n v="10200"/>
    <x v="0"/>
    <n v="800"/>
    <s v="Within Budget"/>
    <n v="4"/>
  </r>
  <r>
    <s v="Security Audit"/>
    <s v="Wireframing"/>
    <x v="13"/>
    <s v="High"/>
    <d v="2024-08-27T00:00:00"/>
    <d v="2024-09-28T00:00:00"/>
    <d v="2024-09-09T00:00:00"/>
    <n v="0.25"/>
    <n v="43000"/>
    <n v="12200"/>
    <x v="2"/>
    <n v="30800"/>
    <s v="Within Budget"/>
    <n v="-19"/>
  </r>
  <r>
    <s v="Chatbot Development"/>
    <s v="Deployment Planning"/>
    <x v="14"/>
    <s v="Medium"/>
    <d v="2024-08-18T00:00:00"/>
    <d v="2024-09-03T00:00:00"/>
    <d v="2024-09-13T00:00:00"/>
    <n v="1"/>
    <n v="36000"/>
    <n v="39300"/>
    <x v="0"/>
    <n v="-3300"/>
    <s v="Over Budget"/>
    <n v="10"/>
  </r>
  <r>
    <s v="Cloud Infrastructure"/>
    <s v="Requirements Gathering"/>
    <x v="8"/>
    <s v="Low"/>
    <d v="2024-02-08T00:00:00"/>
    <d v="2024-02-22T00:00:00"/>
    <d v="2024-02-23T00:00:00"/>
    <n v="1"/>
    <n v="19000"/>
    <n v="23500"/>
    <x v="0"/>
    <n v="-4500"/>
    <s v="Over Budget"/>
    <n v="1"/>
  </r>
  <r>
    <s v="Email Platform Migration"/>
    <s v="Technical Architecture"/>
    <x v="10"/>
    <s v="Low"/>
    <d v="2024-12-24T00:00:00"/>
    <d v="2025-01-23T00:00:00"/>
    <m/>
    <n v="0.79"/>
    <n v="31000"/>
    <n v="21300"/>
    <x v="4"/>
    <n v="9700"/>
    <s v="Within Budget"/>
    <n v="606"/>
  </r>
  <r>
    <s v="CRM Migration"/>
    <s v="Technical Architecture"/>
    <x v="13"/>
    <s v="High"/>
    <d v="2024-12-30T00:00:00"/>
    <d v="2025-01-25T00:00:00"/>
    <m/>
    <n v="0.93"/>
    <n v="10000"/>
    <n v="8900"/>
    <x v="4"/>
    <n v="1100"/>
    <s v="Within Budget"/>
    <n v="604"/>
  </r>
  <r>
    <s v="Analytics Dashboard"/>
    <s v="User Acceptance Testing"/>
    <x v="15"/>
    <s v="Medium"/>
    <d v="2024-04-21T00:00:00"/>
    <d v="2024-05-25T00:00:00"/>
    <m/>
    <n v="0.37"/>
    <n v="66000"/>
    <n v="78400"/>
    <x v="1"/>
    <n v="-12400"/>
    <s v="Over Budget"/>
    <n v="849"/>
  </r>
  <r>
    <s v="Performance Review System"/>
    <s v="Quality Assurance"/>
    <x v="6"/>
    <s v="Low"/>
    <d v="2024-06-18T00:00:00"/>
    <d v="2024-07-09T00:00:00"/>
    <d v="2024-06-25T00:00:00"/>
    <n v="0.2"/>
    <n v="32000"/>
    <n v="7700"/>
    <x v="2"/>
    <n v="24300"/>
    <s v="Within Budget"/>
    <n v="-14"/>
  </r>
  <r>
    <s v="Budget Planning Tool"/>
    <s v="Retrospective"/>
    <x v="16"/>
    <s v="High"/>
    <d v="2024-12-08T00:00:00"/>
    <d v="2024-12-20T00:00:00"/>
    <m/>
    <n v="0.45"/>
    <n v="45000"/>
    <n v="33900"/>
    <x v="1"/>
    <n v="11100"/>
    <s v="Within Budget"/>
    <n v="640"/>
  </r>
  <r>
    <s v="Social Media Revamp"/>
    <s v="Data Migration"/>
    <x v="11"/>
    <s v="Medium"/>
    <d v="2025-03-29T00:00:00"/>
    <d v="2025-06-04T00:00:00"/>
    <m/>
    <n v="0.69"/>
    <n v="81000"/>
    <n v="51100"/>
    <x v="4"/>
    <n v="29900"/>
    <s v="Within Budget"/>
    <n v="474"/>
  </r>
  <r>
    <s v="Performance Review System"/>
    <s v="Post-Launch Review"/>
    <x v="3"/>
    <s v="Medium"/>
    <d v="2025-02-22T00:00:00"/>
    <d v="2025-03-22T00:00:00"/>
    <m/>
    <n v="0.32"/>
    <n v="44000"/>
    <n v="53800"/>
    <x v="1"/>
    <n v="-9800"/>
    <s v="Over Budget"/>
    <n v="548"/>
  </r>
  <r>
    <s v="Email Platform Migration"/>
    <s v="Go-Live Preparation"/>
    <x v="13"/>
    <s v="Medium"/>
    <d v="2025-04-29T00:00:00"/>
    <d v="2025-05-25T00:00:00"/>
    <m/>
    <n v="0"/>
    <n v="28000"/>
    <n v="0"/>
    <x v="3"/>
    <n v="28000"/>
    <s v="Within Budget"/>
    <n v="484"/>
  </r>
  <r>
    <s v="Compliance Overhaul"/>
    <s v="Code Review"/>
    <x v="12"/>
    <s v="Critical"/>
    <d v="2024-04-01T00:00:00"/>
    <d v="2024-04-10T00:00:00"/>
    <d v="2024-04-03T00:00:00"/>
    <n v="1"/>
    <n v="2000"/>
    <n v="2000"/>
    <x v="0"/>
    <n v="0"/>
    <s v="Within Budget"/>
    <n v="-7"/>
  </r>
  <r>
    <s v="Annual Report"/>
    <s v="Integration Testing"/>
    <x v="0"/>
    <s v="Medium"/>
    <d v="2025-05-07T00:00:00"/>
    <d v="2025-06-08T00:00:00"/>
    <m/>
    <n v="0"/>
    <n v="37000"/>
    <n v="0"/>
    <x v="3"/>
    <n v="37000"/>
    <s v="Within Budget"/>
    <n v="470"/>
  </r>
  <r>
    <s v="Compliance Overhaul"/>
    <s v="API Development"/>
    <x v="12"/>
    <s v="High"/>
    <d v="2024-05-21T00:00:00"/>
    <d v="2024-06-17T00:00:00"/>
    <d v="2024-06-24T00:00:00"/>
    <n v="1"/>
    <n v="47000"/>
    <n v="43000"/>
    <x v="0"/>
    <n v="4000"/>
    <s v="Within Budget"/>
    <n v="7"/>
  </r>
  <r>
    <s v="Mobile App Launch"/>
    <s v="Stakeholder Interviews"/>
    <x v="11"/>
    <s v="High"/>
    <d v="2024-05-05T00:00:00"/>
    <d v="2024-05-20T00:00:00"/>
    <d v="2024-06-04T00:00:00"/>
    <n v="1"/>
    <n v="42000"/>
    <n v="44400"/>
    <x v="0"/>
    <n v="-2400"/>
    <s v="Over Budget"/>
    <n v="15"/>
  </r>
  <r>
    <s v="ERP Implementation"/>
    <s v="Compliance Check"/>
    <x v="12"/>
    <s v="High"/>
    <d v="2024-02-15T00:00:00"/>
    <d v="2024-03-15T00:00:00"/>
    <d v="2024-03-15T00:00:00"/>
    <n v="1"/>
    <n v="15000"/>
    <n v="17300"/>
    <x v="0"/>
    <n v="-2300"/>
    <s v="Over Budget"/>
    <n v="0"/>
  </r>
  <r>
    <s v="Product Launch Q2"/>
    <s v="Frontend Development"/>
    <x v="16"/>
    <s v="High"/>
    <d v="2024-03-15T00:00:00"/>
    <d v="2024-05-24T00:00:00"/>
    <d v="2024-06-12T00:00:00"/>
    <n v="1"/>
    <n v="67000"/>
    <n v="92200"/>
    <x v="0"/>
    <n v="-25200"/>
    <s v="Over Budget"/>
    <n v="19"/>
  </r>
  <r>
    <s v="Office Relocation"/>
    <s v="User Acceptance Testing"/>
    <x v="13"/>
    <s v="High"/>
    <d v="2025-01-21T00:00:00"/>
    <d v="2025-02-19T00:00:00"/>
    <d v="2025-02-27T00:00:00"/>
    <n v="1"/>
    <n v="17000"/>
    <n v="22400"/>
    <x v="0"/>
    <n v="-5400"/>
    <s v="Over Budget"/>
    <n v="8"/>
  </r>
  <r>
    <s v="CRM Migration"/>
    <s v="Wireframing"/>
    <x v="10"/>
    <s v="High"/>
    <d v="2024-09-13T00:00:00"/>
    <d v="2024-10-13T00:00:00"/>
    <d v="2024-11-27T00:00:00"/>
    <n v="1"/>
    <n v="24000"/>
    <n v="23100"/>
    <x v="0"/>
    <n v="900"/>
    <s v="Within Budget"/>
    <n v="45"/>
  </r>
  <r>
    <s v="Chatbot Development"/>
    <s v="Backup Configuration"/>
    <x v="14"/>
    <s v="Medium"/>
    <d v="2024-05-17T00:00:00"/>
    <d v="2024-06-07T00:00:00"/>
    <d v="2024-06-19T00:00:00"/>
    <n v="1"/>
    <n v="11000"/>
    <n v="13400"/>
    <x v="0"/>
    <n v="-2400"/>
    <s v="Over Budget"/>
    <n v="12"/>
  </r>
  <r>
    <s v="Mobile App Launch"/>
    <s v="Analytics Integration"/>
    <x v="16"/>
    <s v="Medium"/>
    <d v="2025-03-15T00:00:00"/>
    <d v="2025-03-23T00:00:00"/>
    <m/>
    <n v="0"/>
    <n v="9000"/>
    <n v="0"/>
    <x v="3"/>
    <n v="9000"/>
    <s v="Within Budget"/>
    <n v="547"/>
  </r>
  <r>
    <s v="Inventory System"/>
    <s v="Bug Fixes"/>
    <x v="14"/>
    <s v="Medium"/>
    <d v="2024-11-09T00:00:00"/>
    <d v="2024-11-16T00:00:00"/>
    <d v="2024-11-12T00:00:00"/>
    <n v="0"/>
    <n v="4000"/>
    <n v="700"/>
    <x v="2"/>
    <n v="3300"/>
    <s v="Within Budget"/>
    <n v="-4"/>
  </r>
  <r>
    <s v="Annual Report"/>
    <s v="Feedback Collection"/>
    <x v="3"/>
    <s v="Medium"/>
    <d v="2025-05-04T00:00:00"/>
    <d v="2025-05-24T00:00:00"/>
    <m/>
    <n v="0"/>
    <n v="33000"/>
    <n v="0"/>
    <x v="3"/>
    <n v="33000"/>
    <s v="Within Budget"/>
    <n v="485"/>
  </r>
  <r>
    <s v="Inventory System"/>
    <s v="Deployment Planning"/>
    <x v="14"/>
    <s v="Low"/>
    <d v="2024-03-07T00:00:00"/>
    <d v="2024-04-03T00:00:00"/>
    <d v="2024-04-24T00:00:00"/>
    <n v="1"/>
    <n v="12000"/>
    <n v="13600"/>
    <x v="0"/>
    <n v="-1600"/>
    <s v="Over Budget"/>
    <n v="21"/>
  </r>
  <r>
    <s v="Inventory System"/>
    <s v="Quality Assurance"/>
    <x v="17"/>
    <s v="Medium"/>
    <d v="2025-04-06T00:00:00"/>
    <d v="2025-05-02T00:00:00"/>
    <m/>
    <n v="0.94"/>
    <n v="49000"/>
    <n v="51800"/>
    <x v="4"/>
    <n v="-2800"/>
    <s v="Over Budget"/>
    <n v="507"/>
  </r>
  <r>
    <s v="Performance Review System"/>
    <s v="Accessibility Audit"/>
    <x v="8"/>
    <s v="Critical"/>
    <d v="2025-06-22T00:00:00"/>
    <d v="2025-06-30T00:00:00"/>
    <m/>
    <n v="0"/>
    <n v="14000"/>
    <n v="0"/>
    <x v="3"/>
    <n v="14000"/>
    <s v="Within Budget"/>
    <n v="448"/>
  </r>
  <r>
    <s v="Product Launch Q2"/>
    <s v="Backup Configuration"/>
    <x v="11"/>
    <s v="Low"/>
    <d v="2024-09-03T00:00:00"/>
    <d v="2024-10-06T00:00:00"/>
    <d v="2024-09-28T00:00:00"/>
    <n v="1"/>
    <n v="39000"/>
    <n v="38300"/>
    <x v="0"/>
    <n v="700"/>
    <s v="Within Budget"/>
    <n v="-8"/>
  </r>
  <r>
    <s v="Compliance Overhaul"/>
    <s v="Training Materials"/>
    <x v="9"/>
    <s v="Low"/>
    <d v="2024-08-10T00:00:00"/>
    <d v="2024-09-08T00:00:00"/>
    <d v="2024-08-20T00:00:00"/>
    <n v="0"/>
    <n v="45000"/>
    <n v="6300"/>
    <x v="2"/>
    <n v="38700"/>
    <s v="Within Budget"/>
    <n v="-19"/>
  </r>
  <r>
    <s v="Office Relocation"/>
    <s v="A/B Testing Setup"/>
    <x v="14"/>
    <s v="Medium"/>
    <d v="2025-04-01T00:00:00"/>
    <d v="2025-04-26T00:00:00"/>
    <m/>
    <n v="0"/>
    <n v="29000"/>
    <n v="0"/>
    <x v="3"/>
    <n v="29000"/>
    <s v="Within Budget"/>
    <n v="513"/>
  </r>
  <r>
    <s v="Chatbot Development"/>
    <s v="Retrospective"/>
    <x v="2"/>
    <s v="Medium"/>
    <d v="2024-02-11T00:00:00"/>
    <d v="2024-02-23T00:00:00"/>
    <d v="2024-02-15T00:00:00"/>
    <n v="0.15"/>
    <n v="44000"/>
    <n v="8200"/>
    <x v="2"/>
    <n v="35800"/>
    <s v="Within Budget"/>
    <n v="-8"/>
  </r>
  <r>
    <s v="Office Relocation"/>
    <s v="Database Design"/>
    <x v="10"/>
    <s v="High"/>
    <d v="2025-01-03T00:00:00"/>
    <d v="2025-02-08T00:00:00"/>
    <m/>
    <n v="0.56999999999999995"/>
    <n v="74000"/>
    <n v="48900"/>
    <x v="4"/>
    <n v="25100"/>
    <s v="Within Budget"/>
    <n v="590"/>
  </r>
  <r>
    <s v="Training Platform"/>
    <s v="Requirements Gathering"/>
    <x v="13"/>
    <s v="Critical"/>
    <d v="2025-05-08T00:00:00"/>
    <d v="2025-05-13T00:00:00"/>
    <m/>
    <n v="0"/>
    <n v="9000"/>
    <n v="0"/>
    <x v="3"/>
    <n v="9000"/>
    <s v="Within Budget"/>
    <n v="496"/>
  </r>
  <r>
    <s v="Mobile App Launch"/>
    <s v="Monitoring Setup"/>
    <x v="9"/>
    <s v="Critical"/>
    <d v="2024-08-08T00:00:00"/>
    <d v="2024-09-07T00:00:00"/>
    <d v="2024-09-22T00:00:00"/>
    <n v="1"/>
    <n v="34000"/>
    <n v="44800"/>
    <x v="0"/>
    <n v="-10800"/>
    <s v="Over Budget"/>
    <n v="15"/>
  </r>
  <r>
    <s v="Office Relocation"/>
    <s v="Data Migration"/>
    <x v="6"/>
    <s v="Medium"/>
    <d v="2024-11-16T00:00:00"/>
    <d v="2024-12-27T00:00:00"/>
    <d v="2025-02-09T00:00:00"/>
    <n v="1"/>
    <n v="60000"/>
    <n v="70700"/>
    <x v="0"/>
    <n v="-10700"/>
    <s v="Over Budget"/>
    <n v="44"/>
  </r>
  <r>
    <s v="Analytics Dashboard"/>
    <s v="Status Reporting"/>
    <x v="10"/>
    <s v="Low"/>
    <d v="2025-01-11T00:00:00"/>
    <d v="2025-01-27T00:00:00"/>
    <m/>
    <n v="0.41"/>
    <n v="47000"/>
    <n v="10200"/>
    <x v="5"/>
    <n v="36800"/>
    <s v="Within Budget"/>
    <n v="602"/>
  </r>
  <r>
    <s v="Cloud Infrastructure"/>
    <s v="Security Review"/>
    <x v="10"/>
    <s v="Medium"/>
    <d v="2025-06-12T00:00:00"/>
    <d v="2025-06-19T00:00:00"/>
    <m/>
    <n v="0"/>
    <n v="10000"/>
    <n v="0"/>
    <x v="3"/>
    <n v="10000"/>
    <s v="Within Budget"/>
    <n v="459"/>
  </r>
  <r>
    <s v="Budget Planning Tool"/>
    <s v="Unit Testing"/>
    <x v="10"/>
    <s v="High"/>
    <d v="2025-05-27T00:00:00"/>
    <d v="2025-06-11T00:00:00"/>
    <m/>
    <n v="0"/>
    <n v="25000"/>
    <n v="0"/>
    <x v="3"/>
    <n v="25000"/>
    <s v="Within Budget"/>
    <n v="467"/>
  </r>
  <r>
    <s v="ERP Implementation"/>
    <s v="User Acceptance Testing"/>
    <x v="18"/>
    <s v="Medium"/>
    <d v="2024-06-20T00:00:00"/>
    <d v="2024-07-11T00:00:00"/>
    <d v="2024-07-25T00:00:00"/>
    <n v="1"/>
    <n v="32000"/>
    <n v="42800"/>
    <x v="0"/>
    <n v="-10800"/>
    <s v="Over Budget"/>
    <n v="14"/>
  </r>
  <r>
    <s v="Office Relocation"/>
    <s v="Content Creation"/>
    <x v="14"/>
    <s v="Medium"/>
    <d v="2024-09-04T00:00:00"/>
    <d v="2024-09-28T00:00:00"/>
    <d v="2024-10-06T00:00:00"/>
    <n v="1"/>
    <n v="25000"/>
    <n v="25700"/>
    <x v="0"/>
    <n v="-700"/>
    <s v="Over Budget"/>
    <n v="8"/>
  </r>
  <r>
    <s v="Website Redesign"/>
    <s v="Wireframing"/>
    <x v="4"/>
    <s v="High"/>
    <d v="2024-01-25T00:00:00"/>
    <d v="2024-02-22T00:00:00"/>
    <d v="2024-02-04T00:00:00"/>
    <n v="0"/>
    <n v="18000"/>
    <n v="2700"/>
    <x v="2"/>
    <n v="15300"/>
    <s v="Within Budget"/>
    <n v="-18"/>
  </r>
  <r>
    <s v="Compliance Overhaul"/>
    <s v="Documentation"/>
    <x v="11"/>
    <s v="Medium"/>
    <d v="2024-09-11T00:00:00"/>
    <d v="2024-10-11T00:00:00"/>
    <d v="2024-11-22T00:00:00"/>
    <n v="1"/>
    <n v="29000"/>
    <n v="27400"/>
    <x v="0"/>
    <n v="1600"/>
    <s v="Within Budget"/>
    <n v="42"/>
  </r>
  <r>
    <s v="Product Launch Q1"/>
    <s v="Risk Assessment"/>
    <x v="19"/>
    <s v="Low"/>
    <d v="2024-08-08T00:00:00"/>
    <d v="2024-08-25T00:00:00"/>
    <d v="2024-09-15T00:00:00"/>
    <n v="1"/>
    <n v="13000"/>
    <n v="14900"/>
    <x v="0"/>
    <n v="-1900"/>
    <s v="Over Budget"/>
    <n v="21"/>
  </r>
  <r>
    <s v="Chatbot Development"/>
    <s v="Budget Review"/>
    <x v="10"/>
    <s v="Medium"/>
    <d v="2025-01-01T00:00:00"/>
    <d v="2025-01-23T00:00:00"/>
    <m/>
    <n v="0.63"/>
    <n v="13000"/>
    <n v="2800"/>
    <x v="5"/>
    <n v="10200"/>
    <s v="Within Budget"/>
    <n v="606"/>
  </r>
  <r>
    <s v="Onboarding Automation"/>
    <s v="User Training"/>
    <x v="1"/>
    <s v="Medium"/>
    <d v="2024-08-27T00:00:00"/>
    <d v="2024-09-12T00:00:00"/>
    <d v="2024-09-12T00:00:00"/>
    <n v="1"/>
    <n v="34000"/>
    <n v="38100"/>
    <x v="0"/>
    <n v="-4100"/>
    <s v="Over Budget"/>
    <n v="0"/>
  </r>
  <r>
    <s v="Chatbot Development"/>
    <s v="Infrastructure Setup"/>
    <x v="6"/>
    <s v="Medium"/>
    <d v="2025-06-24T00:00:00"/>
    <d v="2025-07-07T00:00:00"/>
    <m/>
    <n v="0"/>
    <n v="11000"/>
    <n v="0"/>
    <x v="3"/>
    <n v="11000"/>
    <s v="Within Budget"/>
    <n v="441"/>
  </r>
  <r>
    <s v="Cloud Infrastructure"/>
    <s v="Market Research"/>
    <x v="8"/>
    <s v="High"/>
    <d v="2025-02-19T00:00:00"/>
    <d v="2025-03-01T00:00:00"/>
    <m/>
    <n v="0.42"/>
    <n v="15000"/>
    <n v="6900"/>
    <x v="4"/>
    <n v="8100"/>
    <s v="Within Budget"/>
    <n v="569"/>
  </r>
  <r>
    <s v="Brand Refresh"/>
    <s v="Documentation"/>
    <x v="19"/>
    <s v="High"/>
    <d v="2024-11-13T00:00:00"/>
    <d v="2024-11-27T00:00:00"/>
    <d v="2024-11-25T00:00:00"/>
    <n v="1"/>
    <n v="40000"/>
    <n v="46700"/>
    <x v="0"/>
    <n v="-6700"/>
    <s v="Over Budget"/>
    <n v="-2"/>
  </r>
  <r>
    <s v="Mobile App Launch"/>
    <s v="Risk Assessment"/>
    <x v="0"/>
    <s v="High"/>
    <d v="2025-04-01T00:00:00"/>
    <d v="2025-04-14T00:00:00"/>
    <m/>
    <n v="0.48"/>
    <n v="27000"/>
    <n v="10500"/>
    <x v="4"/>
    <n v="16500"/>
    <s v="Within Budget"/>
    <n v="525"/>
  </r>
  <r>
    <s v="Payment Integration"/>
    <s v="Market Research"/>
    <x v="20"/>
    <s v="Medium"/>
    <d v="2024-08-05T00:00:00"/>
    <d v="2024-08-10T00:00:00"/>
    <m/>
    <n v="0.7"/>
    <n v="5000"/>
    <n v="3000"/>
    <x v="1"/>
    <n v="2000"/>
    <s v="Within Budget"/>
    <n v="772"/>
  </r>
  <r>
    <s v="Marketing Automation"/>
    <s v="Quality Assurance"/>
    <x v="16"/>
    <s v="Low"/>
    <d v="2025-04-06T00:00:00"/>
    <d v="2025-05-08T00:00:00"/>
    <m/>
    <n v="0"/>
    <n v="80000"/>
    <n v="0"/>
    <x v="3"/>
    <n v="80000"/>
    <s v="Within Budget"/>
    <n v="501"/>
  </r>
  <r>
    <s v="Chatbot Development"/>
    <s v="SEO Optimization"/>
    <x v="21"/>
    <s v="Critical"/>
    <d v="2025-04-01T00:00:00"/>
    <d v="2025-05-04T00:00:00"/>
    <m/>
    <n v="0.28999999999999998"/>
    <n v="39000"/>
    <n v="9100"/>
    <x v="4"/>
    <n v="29900"/>
    <s v="Within Budget"/>
    <n v="505"/>
  </r>
  <r>
    <s v="Performance Review System"/>
    <s v="Status Reporting"/>
    <x v="9"/>
    <s v="Critical"/>
    <d v="2024-12-10T00:00:00"/>
    <d v="2025-01-05T00:00:00"/>
    <d v="2024-12-22T00:00:00"/>
    <n v="0"/>
    <n v="19000"/>
    <n v="4400"/>
    <x v="2"/>
    <n v="14600"/>
    <s v="Within Budget"/>
    <n v="-14"/>
  </r>
  <r>
    <s v="Payment Integration"/>
    <s v="Competitive Analysis"/>
    <x v="3"/>
    <s v="Low"/>
    <d v="2025-06-21T00:00:00"/>
    <d v="2025-07-14T00:00:00"/>
    <m/>
    <n v="0"/>
    <n v="11000"/>
    <n v="0"/>
    <x v="3"/>
    <n v="11000"/>
    <s v="Within Budget"/>
    <n v="434"/>
  </r>
  <r>
    <s v="HR System Upgrade"/>
    <s v="Stakeholder Interviews"/>
    <x v="18"/>
    <s v="High"/>
    <d v="2025-05-31T00:00:00"/>
    <d v="2025-06-15T00:00:00"/>
    <m/>
    <n v="0.22"/>
    <n v="24000"/>
    <n v="4800"/>
    <x v="4"/>
    <n v="19200"/>
    <s v="Within Budget"/>
    <n v="463"/>
  </r>
  <r>
    <s v="CRM Migration"/>
    <s v="Change Management"/>
    <x v="17"/>
    <s v="Medium"/>
    <d v="2024-12-23T00:00:00"/>
    <d v="2025-01-16T00:00:00"/>
    <d v="2025-02-16T00:00:00"/>
    <n v="1"/>
    <n v="19000"/>
    <n v="20600"/>
    <x v="0"/>
    <n v="-1600"/>
    <s v="Over Budget"/>
    <n v="31"/>
  </r>
  <r>
    <s v="Data Warehouse Build"/>
    <s v="Feedback Collection"/>
    <x v="2"/>
    <s v="High"/>
    <d v="2024-11-25T00:00:00"/>
    <d v="2024-12-19T00:00:00"/>
    <d v="2024-12-30T00:00:00"/>
    <n v="1"/>
    <n v="13000"/>
    <n v="15500"/>
    <x v="0"/>
    <n v="-2500"/>
    <s v="Over Budget"/>
    <n v="11"/>
  </r>
  <r>
    <s v="Product Launch Q1"/>
    <s v="Communication Plan"/>
    <x v="0"/>
    <s v="Low"/>
    <d v="2024-09-20T00:00:00"/>
    <d v="2024-10-19T00:00:00"/>
    <d v="2024-11-13T00:00:00"/>
    <n v="1"/>
    <n v="47000"/>
    <n v="51100"/>
    <x v="0"/>
    <n v="-4100"/>
    <s v="Over Budget"/>
    <n v="25"/>
  </r>
  <r>
    <s v="Onboarding Automation"/>
    <s v="Analytics Integration"/>
    <x v="22"/>
    <s v="Medium"/>
    <d v="2025-04-14T00:00:00"/>
    <d v="2025-04-28T00:00:00"/>
    <m/>
    <n v="0"/>
    <n v="42000"/>
    <n v="0"/>
    <x v="3"/>
    <n v="42000"/>
    <s v="Within Budget"/>
    <n v="511"/>
  </r>
  <r>
    <s v="Analytics Dashboard"/>
    <s v="Infrastructure Setup"/>
    <x v="11"/>
    <s v="Low"/>
    <d v="2024-02-04T00:00:00"/>
    <d v="2024-03-09T00:00:00"/>
    <d v="2024-02-10T00:00:00"/>
    <n v="0.15"/>
    <n v="49000"/>
    <n v="8800"/>
    <x v="2"/>
    <n v="40200"/>
    <s v="Within Budget"/>
    <n v="-28"/>
  </r>
  <r>
    <s v="Security Audit"/>
    <s v="Frontend Development"/>
    <x v="23"/>
    <s v="Medium"/>
    <d v="2024-03-26T00:00:00"/>
    <d v="2024-05-10T00:00:00"/>
    <d v="2024-05-11T00:00:00"/>
    <n v="1"/>
    <n v="53000"/>
    <n v="63800"/>
    <x v="0"/>
    <n v="-10800"/>
    <s v="Over Budget"/>
    <n v="1"/>
  </r>
  <r>
    <s v="Office Relocation"/>
    <s v="Security Review"/>
    <x v="16"/>
    <s v="Low"/>
    <d v="2025-02-05T00:00:00"/>
    <d v="2025-03-03T00:00:00"/>
    <m/>
    <n v="0.41"/>
    <n v="34000"/>
    <n v="16600"/>
    <x v="4"/>
    <n v="17400"/>
    <s v="Within Budget"/>
    <n v="567"/>
  </r>
  <r>
    <s v="Security Audit"/>
    <s v="Data Migration"/>
    <x v="7"/>
    <s v="High"/>
    <d v="2025-01-03T00:00:00"/>
    <d v="2025-02-23T00:00:00"/>
    <d v="2025-04-09T00:00:00"/>
    <n v="1"/>
    <n v="94000"/>
    <n v="110700"/>
    <x v="0"/>
    <n v="-16700"/>
    <s v="Over Budget"/>
    <n v="45"/>
  </r>
  <r>
    <s v="Chatbot Development"/>
    <s v="User Training"/>
    <x v="0"/>
    <s v="High"/>
    <d v="2024-02-03T00:00:00"/>
    <d v="2024-02-27T00:00:00"/>
    <d v="2024-02-27T00:00:00"/>
    <n v="1"/>
    <n v="25000"/>
    <n v="34600"/>
    <x v="0"/>
    <n v="-9600"/>
    <s v="Over Budget"/>
    <n v="0"/>
  </r>
  <r>
    <s v="Inventory System"/>
    <s v="Code Review"/>
    <x v="0"/>
    <s v="Low"/>
    <d v="2024-05-24T00:00:00"/>
    <d v="2024-06-23T00:00:00"/>
    <d v="2024-08-01T00:00:00"/>
    <n v="1"/>
    <n v="30000"/>
    <n v="29700"/>
    <x v="0"/>
    <n v="300"/>
    <s v="Within Budget"/>
    <n v="39"/>
  </r>
  <r>
    <s v="Compliance Overhaul"/>
    <s v="Change Management"/>
    <x v="3"/>
    <s v="Low"/>
    <d v="2025-03-07T00:00:00"/>
    <d v="2025-04-01T00:00:00"/>
    <m/>
    <n v="0.41"/>
    <n v="47000"/>
    <n v="14300"/>
    <x v="5"/>
    <n v="32700"/>
    <s v="Within Budget"/>
    <n v="538"/>
  </r>
  <r>
    <s v="Performance Review System"/>
    <s v="Accessibility Audit"/>
    <x v="22"/>
    <s v="Low"/>
    <d v="2025-01-24T00:00:00"/>
    <d v="2025-02-24T00:00:00"/>
    <d v="2025-03-31T00:00:00"/>
    <n v="1"/>
    <n v="59000"/>
    <n v="62100"/>
    <x v="0"/>
    <n v="-3100"/>
    <s v="Over Budget"/>
    <n v="35"/>
  </r>
  <r>
    <s v="Email Platform Migration"/>
    <s v="Market Research"/>
    <x v="24"/>
    <s v="Low"/>
    <d v="2025-06-04T00:00:00"/>
    <d v="2025-06-15T00:00:00"/>
    <m/>
    <n v="0"/>
    <n v="18000"/>
    <n v="0"/>
    <x v="3"/>
    <n v="18000"/>
    <s v="Within Budget"/>
    <n v="463"/>
  </r>
  <r>
    <s v="CRM Migration"/>
    <s v="Asset Design"/>
    <x v="24"/>
    <s v="High"/>
    <d v="2025-06-24T00:00:00"/>
    <d v="2025-07-20T00:00:00"/>
    <m/>
    <n v="0"/>
    <n v="22000"/>
    <n v="0"/>
    <x v="3"/>
    <n v="22000"/>
    <s v="Within Budget"/>
    <n v="428"/>
  </r>
  <r>
    <s v="ERP Implementation"/>
    <s v="API Development"/>
    <x v="5"/>
    <s v="Low"/>
    <d v="2024-12-14T00:00:00"/>
    <d v="2025-01-01T00:00:00"/>
    <d v="2024-12-20T00:00:00"/>
    <n v="0.1"/>
    <n v="28000"/>
    <n v="7200"/>
    <x v="2"/>
    <n v="20800"/>
    <s v="Within Budget"/>
    <n v="-12"/>
  </r>
  <r>
    <s v="Analytics Dashboard"/>
    <s v="Post-Launch Review"/>
    <x v="14"/>
    <s v="Medium"/>
    <d v="2024-12-24T00:00:00"/>
    <d v="2025-01-06T00:00:00"/>
    <d v="2024-12-28T00:00:00"/>
    <n v="0.25"/>
    <n v="15000"/>
    <n v="2500"/>
    <x v="2"/>
    <n v="12500"/>
    <s v="Within Budget"/>
    <n v="-9"/>
  </r>
  <r>
    <s v="Marketing Automation"/>
    <s v="Asset Design"/>
    <x v="22"/>
    <s v="Medium"/>
    <d v="2025-02-13T00:00:00"/>
    <d v="2025-02-28T00:00:00"/>
    <d v="2025-02-28T00:00:00"/>
    <n v="1"/>
    <n v="35000"/>
    <n v="40500"/>
    <x v="0"/>
    <n v="-5500"/>
    <s v="Over Budget"/>
    <n v="0"/>
  </r>
  <r>
    <s v="Chatbot Development"/>
    <s v="SEO Optimization"/>
    <x v="10"/>
    <s v="High"/>
    <d v="2024-01-03T00:00:00"/>
    <d v="2024-02-02T00:00:00"/>
    <d v="2024-01-05T00:00:00"/>
    <n v="0.2"/>
    <n v="21000"/>
    <n v="2800"/>
    <x v="2"/>
    <n v="18200"/>
    <s v="Within Budget"/>
    <n v="-28"/>
  </r>
  <r>
    <s v="HR System Upgrade"/>
    <s v="Go-Live Preparation"/>
    <x v="8"/>
    <s v="High"/>
    <d v="2024-12-04T00:00:00"/>
    <d v="2025-01-01T00:00:00"/>
    <d v="2024-12-11T00:00:00"/>
    <n v="0.3"/>
    <n v="45000"/>
    <n v="16600"/>
    <x v="2"/>
    <n v="28400"/>
    <s v="Within Budget"/>
    <n v="-21"/>
  </r>
  <r>
    <s v="Annual Report"/>
    <s v="Content Creation"/>
    <x v="20"/>
    <s v="High"/>
    <d v="2024-02-03T00:00:00"/>
    <d v="2024-02-24T00:00:00"/>
    <d v="2024-04-03T00:00:00"/>
    <n v="1"/>
    <n v="19000"/>
    <n v="24500"/>
    <x v="0"/>
    <n v="-5500"/>
    <s v="Over Budget"/>
    <n v="39"/>
  </r>
  <r>
    <s v="CRM Migration"/>
    <s v="Security Review"/>
    <x v="12"/>
    <s v="Medium"/>
    <d v="2025-06-25T00:00:00"/>
    <d v="2025-07-24T00:00:00"/>
    <m/>
    <n v="0"/>
    <n v="43000"/>
    <n v="0"/>
    <x v="3"/>
    <n v="43000"/>
    <s v="Within Budget"/>
    <n v="424"/>
  </r>
  <r>
    <s v="Budget Planning Tool"/>
    <s v="Accessibility Audit"/>
    <x v="0"/>
    <s v="Medium"/>
    <d v="2025-05-05T00:00:00"/>
    <d v="2025-05-22T00:00:00"/>
    <m/>
    <n v="0"/>
    <n v="11000"/>
    <n v="0"/>
    <x v="3"/>
    <n v="11000"/>
    <s v="Within Budget"/>
    <n v="487"/>
  </r>
  <r>
    <s v="Payment Integration"/>
    <s v="Frontend Development"/>
    <x v="19"/>
    <s v="High"/>
    <d v="2025-01-02T00:00:00"/>
    <d v="2025-02-14T00:00:00"/>
    <m/>
    <n v="0.39"/>
    <n v="31000"/>
    <n v="19100"/>
    <x v="1"/>
    <n v="11900"/>
    <s v="Within Budget"/>
    <n v="584"/>
  </r>
  <r>
    <s v="Marketing Automation"/>
    <s v="Iteration Planning"/>
    <x v="10"/>
    <s v="High"/>
    <d v="2024-06-28T00:00:00"/>
    <d v="2024-07-31T00:00:00"/>
    <d v="2024-07-04T00:00:00"/>
    <n v="0.1"/>
    <n v="42000"/>
    <n v="10600"/>
    <x v="2"/>
    <n v="31400"/>
    <s v="Within Budget"/>
    <n v="-27"/>
  </r>
  <r>
    <s v="Social Media Revamp"/>
    <s v="Code Review"/>
    <x v="15"/>
    <s v="Low"/>
    <d v="2025-01-12T00:00:00"/>
    <d v="2025-02-08T00:00:00"/>
    <d v="2025-02-08T00:00:00"/>
    <n v="1"/>
    <n v="33000"/>
    <n v="43000"/>
    <x v="0"/>
    <n v="-10000"/>
    <s v="Over Budget"/>
    <n v="0"/>
  </r>
  <r>
    <s v="Analytics Dashboard"/>
    <s v="Analytics Integration"/>
    <x v="18"/>
    <s v="Medium"/>
    <d v="2024-04-10T00:00:00"/>
    <d v="2024-04-22T00:00:00"/>
    <d v="2024-04-20T00:00:00"/>
    <n v="1"/>
    <n v="35000"/>
    <n v="37200"/>
    <x v="0"/>
    <n v="-2200"/>
    <s v="Over Budget"/>
    <n v="-2"/>
  </r>
  <r>
    <s v="Data Warehouse Build"/>
    <s v="Change Management"/>
    <x v="0"/>
    <s v="High"/>
    <d v="2024-02-12T00:00:00"/>
    <d v="2024-02-19T00:00:00"/>
    <d v="2024-02-24T00:00:00"/>
    <n v="1"/>
    <n v="6000"/>
    <n v="6800"/>
    <x v="0"/>
    <n v="-800"/>
    <s v="Over Budget"/>
    <n v="5"/>
  </r>
  <r>
    <s v="ERP Implementation"/>
    <s v="Integration Testing"/>
    <x v="1"/>
    <s v="Medium"/>
    <d v="2024-09-18T00:00:00"/>
    <d v="2024-10-23T00:00:00"/>
    <d v="2024-10-13T00:00:00"/>
    <n v="1"/>
    <n v="40000"/>
    <n v="46100"/>
    <x v="0"/>
    <n v="-6100"/>
    <s v="Over Budget"/>
    <n v="-10"/>
  </r>
  <r>
    <s v="Budget Planning Tool"/>
    <s v="Performance Testing"/>
    <x v="21"/>
    <s v="High"/>
    <d v="2024-09-18T00:00:00"/>
    <d v="2024-10-06T00:00:00"/>
    <d v="2024-10-13T00:00:00"/>
    <n v="1"/>
    <n v="15000"/>
    <n v="12900"/>
    <x v="0"/>
    <n v="2100"/>
    <s v="Within Budget"/>
    <n v="7"/>
  </r>
  <r>
    <s v="Security Audit"/>
    <s v="API Development"/>
    <x v="7"/>
    <s v="Low"/>
    <d v="2025-04-20T00:00:00"/>
    <d v="2025-05-15T00:00:00"/>
    <m/>
    <n v="0"/>
    <n v="35000"/>
    <n v="0"/>
    <x v="3"/>
    <n v="35000"/>
    <s v="Within Budget"/>
    <n v="494"/>
  </r>
  <r>
    <s v="ERP Implementation"/>
    <s v="Analytics Integration"/>
    <x v="2"/>
    <s v="Medium"/>
    <d v="2025-03-23T00:00:00"/>
    <d v="2025-04-13T00:00:00"/>
    <m/>
    <n v="0"/>
    <n v="24000"/>
    <n v="0"/>
    <x v="3"/>
    <n v="24000"/>
    <s v="Within Budget"/>
    <n v="526"/>
  </r>
  <r>
    <s v="Product Launch Q1"/>
    <s v="Contract Negotiation"/>
    <x v="3"/>
    <s v="Medium"/>
    <d v="2024-05-03T00:00:00"/>
    <d v="2024-05-20T00:00:00"/>
    <d v="2024-05-23T00:00:00"/>
    <n v="1"/>
    <n v="23000"/>
    <n v="22600"/>
    <x v="0"/>
    <n v="400"/>
    <s v="Within Budget"/>
    <n v="3"/>
  </r>
  <r>
    <s v="Training Platform"/>
    <s v="Market Research"/>
    <x v="7"/>
    <s v="Low"/>
    <d v="2024-12-25T00:00:00"/>
    <d v="2025-01-04T00:00:00"/>
    <d v="2025-01-04T00:00:00"/>
    <n v="1"/>
    <n v="9000"/>
    <n v="9700"/>
    <x v="0"/>
    <n v="-700"/>
    <s v="Over Budget"/>
    <n v="0"/>
  </r>
  <r>
    <s v="Training Platform"/>
    <s v="Contract Negotiation"/>
    <x v="12"/>
    <s v="Low"/>
    <d v="2024-12-03T00:00:00"/>
    <d v="2024-12-21T00:00:00"/>
    <d v="2025-01-30T00:00:00"/>
    <n v="1"/>
    <n v="36000"/>
    <n v="34300"/>
    <x v="0"/>
    <n v="1700"/>
    <s v="Within Budget"/>
    <n v="40"/>
  </r>
  <r>
    <s v="Marketing Automation"/>
    <s v="Wireframing"/>
    <x v="5"/>
    <s v="Medium"/>
    <d v="2024-09-19T00:00:00"/>
    <d v="2024-10-20T00:00:00"/>
    <d v="2024-11-20T00:00:00"/>
    <n v="1"/>
    <n v="92000"/>
    <n v="115300"/>
    <x v="0"/>
    <n v="-23300"/>
    <s v="Over Budget"/>
    <n v="31"/>
  </r>
  <r>
    <s v="Website Redesign"/>
    <s v="Optimization"/>
    <x v="5"/>
    <s v="High"/>
    <d v="2024-02-28T00:00:00"/>
    <d v="2024-03-07T00:00:00"/>
    <d v="2024-02-28T00:00:00"/>
    <n v="1"/>
    <n v="15000"/>
    <n v="15500"/>
    <x v="0"/>
    <n v="-500"/>
    <s v="Over Budget"/>
    <n v="-8"/>
  </r>
  <r>
    <s v="Compliance Overhaul"/>
    <s v="Performance Testing"/>
    <x v="12"/>
    <s v="Low"/>
    <d v="2025-01-31T00:00:00"/>
    <d v="2025-03-03T00:00:00"/>
    <d v="2025-03-16T00:00:00"/>
    <n v="1"/>
    <n v="69000"/>
    <n v="81500"/>
    <x v="0"/>
    <n v="-12500"/>
    <s v="Over Budget"/>
    <n v="13"/>
  </r>
  <r>
    <s v="Onboarding Automation"/>
    <s v="Change Management"/>
    <x v="19"/>
    <s v="High"/>
    <d v="2024-03-27T00:00:00"/>
    <d v="2024-04-04T00:00:00"/>
    <d v="2024-04-05T00:00:00"/>
    <n v="1"/>
    <n v="8000"/>
    <n v="8800"/>
    <x v="0"/>
    <n v="-800"/>
    <s v="Over Budget"/>
    <n v="1"/>
  </r>
  <r>
    <s v="CRM Migration"/>
    <s v="Infrastructure Setup"/>
    <x v="10"/>
    <s v="Medium"/>
    <d v="2024-09-13T00:00:00"/>
    <d v="2024-09-30T00:00:00"/>
    <d v="2024-09-29T00:00:00"/>
    <n v="1"/>
    <n v="11000"/>
    <n v="10500"/>
    <x v="0"/>
    <n v="500"/>
    <s v="Within Budget"/>
    <n v="-1"/>
  </r>
  <r>
    <s v="Annual Report"/>
    <s v="Code Review"/>
    <x v="20"/>
    <s v="High"/>
    <d v="2024-08-08T00:00:00"/>
    <d v="2024-09-05T00:00:00"/>
    <d v="2024-08-27T00:00:00"/>
    <n v="1"/>
    <n v="14000"/>
    <n v="19300"/>
    <x v="0"/>
    <n v="-5300"/>
    <s v="Over Budget"/>
    <n v="-9"/>
  </r>
  <r>
    <s v="Office Relocation"/>
    <s v="Retrospective"/>
    <x v="14"/>
    <s v="Medium"/>
    <d v="2024-08-12T00:00:00"/>
    <d v="2024-08-18T00:00:00"/>
    <d v="2024-08-13T00:00:00"/>
    <n v="0.25"/>
    <n v="14000"/>
    <n v="5300"/>
    <x v="2"/>
    <n v="8700"/>
    <s v="Within Budget"/>
    <n v="-5"/>
  </r>
  <r>
    <s v="Compliance Overhaul"/>
    <s v="System Configuration"/>
    <x v="3"/>
    <s v="Medium"/>
    <d v="2024-04-26T00:00:00"/>
    <d v="2024-05-08T00:00:00"/>
    <d v="2024-06-02T00:00:00"/>
    <n v="1"/>
    <n v="24000"/>
    <n v="25700"/>
    <x v="0"/>
    <n v="-1700"/>
    <s v="Over Budget"/>
    <n v="25"/>
  </r>
  <r>
    <s v="Payment Integration"/>
    <s v="Training Materials"/>
    <x v="12"/>
    <s v="Low"/>
    <d v="2025-02-18T00:00:00"/>
    <d v="2025-03-10T00:00:00"/>
    <d v="2025-03-01T00:00:00"/>
    <n v="1"/>
    <n v="41000"/>
    <n v="51700"/>
    <x v="0"/>
    <n v="-10700"/>
    <s v="Over Budget"/>
    <n v="-9"/>
  </r>
  <r>
    <s v="Vendor Portal"/>
    <s v="Go-Live Preparation"/>
    <x v="4"/>
    <s v="Medium"/>
    <d v="2025-04-22T00:00:00"/>
    <d v="2025-05-04T00:00:00"/>
    <m/>
    <n v="0.47"/>
    <n v="30000"/>
    <n v="16700"/>
    <x v="4"/>
    <n v="13300"/>
    <s v="Within Budget"/>
    <n v="505"/>
  </r>
  <r>
    <s v="Training Platform"/>
    <s v="Contract Negotiation"/>
    <x v="2"/>
    <s v="Medium"/>
    <d v="2024-03-27T00:00:00"/>
    <d v="2024-04-28T00:00:00"/>
    <m/>
    <n v="0.56999999999999995"/>
    <n v="97000"/>
    <n v="69600"/>
    <x v="1"/>
    <n v="27400"/>
    <s v="Within Budget"/>
    <n v="876"/>
  </r>
  <r>
    <s v="Marketing Automation"/>
    <s v="Infrastructure Setup"/>
    <x v="6"/>
    <s v="Critical"/>
    <d v="2024-03-27T00:00:00"/>
    <d v="2024-04-18T00:00:00"/>
    <d v="2024-04-23T00:00:00"/>
    <n v="1"/>
    <n v="28000"/>
    <n v="27700"/>
    <x v="0"/>
    <n v="300"/>
    <s v="Within Budget"/>
    <n v="5"/>
  </r>
  <r>
    <s v="Security Audit"/>
    <s v="User Acceptance Testing"/>
    <x v="22"/>
    <s v="Low"/>
    <d v="2024-03-15T00:00:00"/>
    <d v="2024-04-04T00:00:00"/>
    <d v="2024-04-16T00:00:00"/>
    <n v="1"/>
    <n v="48000"/>
    <n v="51500"/>
    <x v="0"/>
    <n v="-3500"/>
    <s v="Over Budget"/>
    <n v="12"/>
  </r>
  <r>
    <s v="Vendor Portal"/>
    <s v="Vendor Evaluation"/>
    <x v="14"/>
    <s v="Critical"/>
    <d v="2024-06-10T00:00:00"/>
    <d v="2024-06-20T00:00:00"/>
    <m/>
    <n v="0.71"/>
    <n v="12000"/>
    <n v="10900"/>
    <x v="1"/>
    <n v="1100"/>
    <s v="Within Budget"/>
    <n v="823"/>
  </r>
  <r>
    <s v="API Gateway"/>
    <s v="Security Review"/>
    <x v="6"/>
    <s v="Medium"/>
    <d v="2024-04-10T00:00:00"/>
    <d v="2024-05-14T00:00:00"/>
    <m/>
    <n v="0.23"/>
    <n v="54000"/>
    <n v="64800"/>
    <x v="1"/>
    <n v="-10800"/>
    <s v="Over Budget"/>
    <n v="860"/>
  </r>
  <r>
    <s v="Email Platform Migration"/>
    <s v="API Development"/>
    <x v="23"/>
    <s v="Low"/>
    <d v="2025-06-01T00:00:00"/>
    <d v="2025-06-30T00:00:00"/>
    <m/>
    <n v="0"/>
    <n v="22000"/>
    <n v="0"/>
    <x v="3"/>
    <n v="22000"/>
    <s v="Within Budget"/>
    <n v="448"/>
  </r>
  <r>
    <s v="Customer Portal"/>
    <s v="Frontend Development"/>
    <x v="3"/>
    <s v="Low"/>
    <d v="2024-02-22T00:00:00"/>
    <d v="2024-04-14T00:00:00"/>
    <d v="2024-04-15T00:00:00"/>
    <n v="1"/>
    <n v="52000"/>
    <n v="65000"/>
    <x v="0"/>
    <n v="-13000"/>
    <s v="Over Budget"/>
    <n v="1"/>
  </r>
  <r>
    <s v="ERP Implementation"/>
    <s v="A/B Testing Setup"/>
    <x v="17"/>
    <s v="Medium"/>
    <d v="2024-03-13T00:00:00"/>
    <d v="2024-04-14T00:00:00"/>
    <d v="2024-04-05T00:00:00"/>
    <n v="1"/>
    <n v="36000"/>
    <n v="50300"/>
    <x v="0"/>
    <n v="-14300"/>
    <s v="Over Budget"/>
    <n v="-9"/>
  </r>
  <r>
    <s v="Product Launch Q2"/>
    <s v="Training Materials"/>
    <x v="19"/>
    <s v="High"/>
    <d v="2024-06-19T00:00:00"/>
    <d v="2024-06-29T00:00:00"/>
    <m/>
    <n v="0.41"/>
    <n v="6000"/>
    <n v="6300"/>
    <x v="1"/>
    <n v="-300"/>
    <s v="Over Budget"/>
    <n v="814"/>
  </r>
  <r>
    <s v="Brand Refresh"/>
    <s v="Documentation"/>
    <x v="8"/>
    <s v="Medium"/>
    <d v="2024-11-22T00:00:00"/>
    <d v="2024-12-19T00:00:00"/>
    <d v="2024-11-27T00:00:00"/>
    <n v="0"/>
    <n v="29000"/>
    <n v="8500"/>
    <x v="2"/>
    <n v="20500"/>
    <s v="Within Budget"/>
    <n v="-22"/>
  </r>
  <r>
    <s v="CRM Migration"/>
    <s v="Asset Design"/>
    <x v="9"/>
    <s v="Low"/>
    <d v="2024-11-19T00:00:00"/>
    <d v="2024-12-11T00:00:00"/>
    <m/>
    <n v="0.32"/>
    <n v="10000"/>
    <n v="10800"/>
    <x v="1"/>
    <n v="-800"/>
    <s v="Over Budget"/>
    <n v="649"/>
  </r>
  <r>
    <s v="Data Warehouse Build"/>
    <s v="Retrospective"/>
    <x v="0"/>
    <s v="Medium"/>
    <d v="2024-01-03T00:00:00"/>
    <d v="2024-01-17T00:00:00"/>
    <m/>
    <n v="0.33"/>
    <n v="13000"/>
    <n v="16300"/>
    <x v="1"/>
    <n v="-3300"/>
    <s v="Over Budget"/>
    <n v="978"/>
  </r>
  <r>
    <s v="DevOps Pipeline"/>
    <s v="Prototype Development"/>
    <x v="4"/>
    <s v="Medium"/>
    <d v="2024-07-02T00:00:00"/>
    <d v="2024-07-21T00:00:00"/>
    <m/>
    <n v="0.79"/>
    <n v="11000"/>
    <n v="13300"/>
    <x v="1"/>
    <n v="-2300"/>
    <s v="Over Budget"/>
    <n v="792"/>
  </r>
  <r>
    <s v="Analytics Dashboard"/>
    <s v="User Acceptance Testing"/>
    <x v="19"/>
    <s v="Low"/>
    <d v="2024-09-29T00:00:00"/>
    <d v="2024-11-01T00:00:00"/>
    <d v="2024-11-27T00:00:00"/>
    <n v="1"/>
    <n v="93000"/>
    <n v="104900"/>
    <x v="0"/>
    <n v="-11900"/>
    <s v="Over Budget"/>
    <n v="26"/>
  </r>
  <r>
    <s v="Email Platform Migration"/>
    <s v="User Acceptance Testing"/>
    <x v="22"/>
    <s v="Low"/>
    <d v="2025-06-06T00:00:00"/>
    <d v="2025-06-13T00:00:00"/>
    <m/>
    <n v="0"/>
    <n v="10000"/>
    <n v="0"/>
    <x v="3"/>
    <n v="10000"/>
    <s v="Within Budget"/>
    <n v="465"/>
  </r>
  <r>
    <s v="Chatbot Development"/>
    <s v="Status Reporting"/>
    <x v="8"/>
    <s v="Medium"/>
    <d v="2024-07-15T00:00:00"/>
    <d v="2024-08-09T00:00:00"/>
    <d v="2024-08-10T00:00:00"/>
    <n v="1"/>
    <n v="43000"/>
    <n v="39300"/>
    <x v="0"/>
    <n v="3700"/>
    <s v="Within Budget"/>
    <n v="1"/>
  </r>
  <r>
    <s v="Product Launch Q1"/>
    <s v="Stakeholder Interviews"/>
    <x v="22"/>
    <s v="Low"/>
    <d v="2024-01-25T00:00:00"/>
    <d v="2024-02-07T00:00:00"/>
    <d v="2024-03-12T00:00:00"/>
    <n v="1"/>
    <n v="37000"/>
    <n v="45400"/>
    <x v="0"/>
    <n v="-8400"/>
    <s v="Over Budget"/>
    <n v="34"/>
  </r>
  <r>
    <s v="Payment Integration"/>
    <s v="Change Management"/>
    <x v="14"/>
    <s v="Critical"/>
    <d v="2024-12-08T00:00:00"/>
    <d v="2025-01-11T00:00:00"/>
    <d v="2025-01-01T00:00:00"/>
    <n v="1"/>
    <n v="69000"/>
    <n v="84000"/>
    <x v="0"/>
    <n v="-15000"/>
    <s v="Over Budget"/>
    <n v="-10"/>
  </r>
  <r>
    <s v="Inventory System"/>
    <s v="Compliance Check"/>
    <x v="13"/>
    <s v="Low"/>
    <d v="2024-08-24T00:00:00"/>
    <d v="2024-09-03T00:00:00"/>
    <m/>
    <n v="0.85"/>
    <n v="11000"/>
    <n v="11800"/>
    <x v="1"/>
    <n v="-800"/>
    <s v="Over Budget"/>
    <n v="748"/>
  </r>
  <r>
    <s v="Compliance Overhaul"/>
    <s v="Data Migration"/>
    <x v="23"/>
    <s v="High"/>
    <d v="2025-03-16T00:00:00"/>
    <d v="2025-04-29T00:00:00"/>
    <m/>
    <n v="0"/>
    <n v="81000"/>
    <n v="0"/>
    <x v="3"/>
    <n v="81000"/>
    <s v="Within Budget"/>
    <n v="510"/>
  </r>
  <r>
    <s v="Product Launch Q1"/>
    <s v="Database Design"/>
    <x v="5"/>
    <s v="Medium"/>
    <d v="2025-03-17T00:00:00"/>
    <d v="2025-04-24T00:00:00"/>
    <m/>
    <n v="0"/>
    <n v="91000"/>
    <n v="0"/>
    <x v="3"/>
    <n v="91000"/>
    <s v="Within Budget"/>
    <n v="515"/>
  </r>
  <r>
    <s v="Office Relocation"/>
    <s v="Stakeholder Interviews"/>
    <x v="2"/>
    <s v="Medium"/>
    <d v="2025-05-02T00:00:00"/>
    <d v="2025-05-09T00:00:00"/>
    <m/>
    <n v="0"/>
    <n v="6000"/>
    <n v="0"/>
    <x v="3"/>
    <n v="6000"/>
    <s v="Within Budget"/>
    <n v="500"/>
  </r>
  <r>
    <s v="Compliance Overhaul"/>
    <s v="Competitive Analysis"/>
    <x v="3"/>
    <s v="Medium"/>
    <d v="2024-02-23T00:00:00"/>
    <d v="2024-03-04T00:00:00"/>
    <d v="2024-03-05T00:00:00"/>
    <n v="1"/>
    <n v="6000"/>
    <n v="5300"/>
    <x v="0"/>
    <n v="700"/>
    <s v="Within Budget"/>
    <n v="1"/>
  </r>
  <r>
    <s v="Compliance Overhaul"/>
    <s v="Status Reporting"/>
    <x v="19"/>
    <s v="High"/>
    <d v="2024-11-29T00:00:00"/>
    <d v="2024-12-29T00:00:00"/>
    <d v="2025-01-10T00:00:00"/>
    <n v="1"/>
    <n v="23000"/>
    <n v="20400"/>
    <x v="0"/>
    <n v="2600"/>
    <s v="Within Budget"/>
    <n v="12"/>
  </r>
  <r>
    <s v="Inventory System"/>
    <s v="Data Migration"/>
    <x v="19"/>
    <s v="Medium"/>
    <d v="2025-06-18T00:00:00"/>
    <d v="2025-08-23T00:00:00"/>
    <m/>
    <n v="0.56000000000000005"/>
    <n v="190000"/>
    <n v="111800"/>
    <x v="4"/>
    <n v="78200"/>
    <s v="Within Budget"/>
    <n v="394"/>
  </r>
  <r>
    <s v="Cloud Infrastructure"/>
    <s v="A/B Testing Setup"/>
    <x v="5"/>
    <s v="Critical"/>
    <d v="2024-08-04T00:00:00"/>
    <d v="2024-09-07T00:00:00"/>
    <d v="2024-09-10T00:00:00"/>
    <n v="1"/>
    <n v="93000"/>
    <n v="93100"/>
    <x v="0"/>
    <n v="-100"/>
    <s v="Over Budget"/>
    <n v="3"/>
  </r>
  <r>
    <s v="API Gateway"/>
    <s v="Accessibility Audit"/>
    <x v="17"/>
    <s v="High"/>
    <d v="2025-01-22T00:00:00"/>
    <d v="2025-02-07T00:00:00"/>
    <m/>
    <n v="0.6"/>
    <n v="47000"/>
    <n v="39200"/>
    <x v="1"/>
    <n v="7800"/>
    <s v="Within Budget"/>
    <n v="591"/>
  </r>
  <r>
    <s v="ERP Implementation"/>
    <s v="Training Materials"/>
    <x v="24"/>
    <s v="Medium"/>
    <d v="2025-03-07T00:00:00"/>
    <d v="2025-03-28T00:00:00"/>
    <m/>
    <n v="0"/>
    <n v="20000"/>
    <n v="0"/>
    <x v="3"/>
    <n v="20000"/>
    <s v="Within Budget"/>
    <n v="542"/>
  </r>
  <r>
    <s v="Mobile App Launch"/>
    <s v="Contract Negotiation"/>
    <x v="5"/>
    <s v="Medium"/>
    <d v="2024-12-26T00:00:00"/>
    <d v="2025-01-25T00:00:00"/>
    <m/>
    <n v="0.65"/>
    <n v="28000"/>
    <n v="22700"/>
    <x v="1"/>
    <n v="5300"/>
    <s v="Within Budget"/>
    <n v="604"/>
  </r>
  <r>
    <s v="Security Audit"/>
    <s v="Asset Design"/>
    <x v="22"/>
    <s v="Medium"/>
    <d v="2025-01-28T00:00:00"/>
    <d v="2025-02-05T00:00:00"/>
    <m/>
    <n v="0.64"/>
    <n v="7000"/>
    <n v="6300"/>
    <x v="1"/>
    <n v="700"/>
    <s v="Within Budget"/>
    <n v="593"/>
  </r>
  <r>
    <s v="Data Warehouse Build"/>
    <s v="User Training"/>
    <x v="11"/>
    <s v="Low"/>
    <d v="2025-06-22T00:00:00"/>
    <d v="2025-07-06T00:00:00"/>
    <m/>
    <n v="0.13"/>
    <n v="46000"/>
    <n v="6500"/>
    <x v="4"/>
    <n v="39500"/>
    <s v="Within Budget"/>
    <n v="442"/>
  </r>
  <r>
    <s v="Product Launch Q1"/>
    <s v="Requirements Gathering"/>
    <x v="10"/>
    <s v="High"/>
    <d v="2024-02-03T00:00:00"/>
    <d v="2024-02-09T00:00:00"/>
    <d v="2024-02-08T00:00:00"/>
    <n v="1"/>
    <n v="15000"/>
    <n v="18900"/>
    <x v="0"/>
    <n v="-3900"/>
    <s v="Over Budget"/>
    <n v="-1"/>
  </r>
  <r>
    <s v="Social Media Revamp"/>
    <s v="Iteration Planning"/>
    <x v="20"/>
    <s v="Low"/>
    <d v="2025-05-31T00:00:00"/>
    <d v="2025-06-26T00:00:00"/>
    <m/>
    <n v="0"/>
    <n v="42000"/>
    <n v="0"/>
    <x v="3"/>
    <n v="42000"/>
    <s v="Within Budget"/>
    <n v="452"/>
  </r>
  <r>
    <s v="CRM Migration"/>
    <s v="Vendor Evaluation"/>
    <x v="17"/>
    <s v="High"/>
    <d v="2024-10-23T00:00:00"/>
    <d v="2024-11-06T00:00:00"/>
    <d v="2024-11-24T00:00:00"/>
    <n v="1"/>
    <n v="31000"/>
    <n v="37000"/>
    <x v="0"/>
    <n v="-6000"/>
    <s v="Over Budget"/>
    <n v="18"/>
  </r>
  <r>
    <s v="Email Platform Migration"/>
    <s v="Vendor Evaluation"/>
    <x v="22"/>
    <s v="High"/>
    <d v="2024-03-09T00:00:00"/>
    <d v="2024-03-25T00:00:00"/>
    <d v="2024-04-13T00:00:00"/>
    <n v="1"/>
    <n v="38000"/>
    <n v="42100"/>
    <x v="0"/>
    <n v="-4100"/>
    <s v="Over Budget"/>
    <n v="19"/>
  </r>
  <r>
    <s v="Supply Chain Optimization"/>
    <s v="Asset Design"/>
    <x v="22"/>
    <s v="Low"/>
    <d v="2025-05-27T00:00:00"/>
    <d v="2025-06-27T00:00:00"/>
    <m/>
    <n v="0"/>
    <n v="64000"/>
    <n v="0"/>
    <x v="3"/>
    <n v="64000"/>
    <s v="Within Budget"/>
    <n v="451"/>
  </r>
  <r>
    <s v="Customer Portal"/>
    <s v="Post-Launch Review"/>
    <x v="4"/>
    <s v="Medium"/>
    <d v="2024-05-31T00:00:00"/>
    <d v="2024-06-26T00:00:00"/>
    <d v="2024-06-27T00:00:00"/>
    <n v="1"/>
    <n v="14000"/>
    <n v="19400"/>
    <x v="0"/>
    <n v="-5400"/>
    <s v="Over Budget"/>
    <n v="1"/>
  </r>
  <r>
    <s v="Customer Portal"/>
    <s v="Unit Testing"/>
    <x v="6"/>
    <s v="Critical"/>
    <d v="2024-12-28T00:00:00"/>
    <d v="2025-01-08T00:00:00"/>
    <d v="2025-01-12T00:00:00"/>
    <n v="1"/>
    <n v="24000"/>
    <n v="26900"/>
    <x v="0"/>
    <n v="-2900"/>
    <s v="Over Budget"/>
    <n v="4"/>
  </r>
  <r>
    <s v="Cloud Infrastructure"/>
    <s v="SEO Optimization"/>
    <x v="21"/>
    <s v="High"/>
    <d v="2024-03-10T00:00:00"/>
    <d v="2024-03-25T00:00:00"/>
    <d v="2024-03-29T00:00:00"/>
    <n v="1"/>
    <n v="21000"/>
    <n v="28400"/>
    <x v="0"/>
    <n v="-7400"/>
    <s v="Over Budget"/>
    <n v="4"/>
  </r>
  <r>
    <s v="Payment Integration"/>
    <s v="Backend Development"/>
    <x v="2"/>
    <s v="High"/>
    <d v="2025-02-12T00:00:00"/>
    <d v="2025-04-01T00:00:00"/>
    <m/>
    <n v="0"/>
    <n v="42000"/>
    <n v="0"/>
    <x v="3"/>
    <n v="42000"/>
    <s v="Within Budget"/>
    <n v="538"/>
  </r>
  <r>
    <s v="Brand Refresh"/>
    <s v="SEO Optimization"/>
    <x v="1"/>
    <s v="Medium"/>
    <d v="2024-08-20T00:00:00"/>
    <d v="2024-09-22T00:00:00"/>
    <d v="2024-11-06T00:00:00"/>
    <n v="1"/>
    <n v="94000"/>
    <n v="91600"/>
    <x v="0"/>
    <n v="2400"/>
    <s v="Within Budget"/>
    <n v="45"/>
  </r>
  <r>
    <s v="Budget Planning Tool"/>
    <s v="Performance Testing"/>
    <x v="3"/>
    <s v="High"/>
    <d v="2024-02-15T00:00:00"/>
    <d v="2024-03-21T00:00:00"/>
    <d v="2024-04-16T00:00:00"/>
    <n v="1"/>
    <n v="73000"/>
    <n v="69400"/>
    <x v="0"/>
    <n v="3600"/>
    <s v="Within Budget"/>
    <n v="26"/>
  </r>
  <r>
    <s v="HR System Upgrade"/>
    <s v="Asset Design"/>
    <x v="12"/>
    <s v="Medium"/>
    <d v="2024-08-23T00:00:00"/>
    <d v="2024-09-03T00:00:00"/>
    <d v="2024-08-28T00:00:00"/>
    <n v="1"/>
    <n v="37000"/>
    <n v="37900"/>
    <x v="0"/>
    <n v="-900"/>
    <s v="Over Budget"/>
    <n v="-6"/>
  </r>
  <r>
    <s v="Data Warehouse Build"/>
    <s v="Feedback Collection"/>
    <x v="8"/>
    <s v="High"/>
    <d v="2024-03-11T00:00:00"/>
    <d v="2024-03-25T00:00:00"/>
    <d v="2024-03-16T00:00:00"/>
    <n v="0"/>
    <n v="48000"/>
    <n v="18400"/>
    <x v="2"/>
    <n v="29600"/>
    <s v="Within Budget"/>
    <n v="-9"/>
  </r>
  <r>
    <s v="Office Relocation"/>
    <s v="Frontend Development"/>
    <x v="9"/>
    <s v="High"/>
    <d v="2024-10-26T00:00:00"/>
    <d v="2024-11-25T00:00:00"/>
    <d v="2024-12-15T00:00:00"/>
    <n v="1"/>
    <n v="15000"/>
    <n v="13600"/>
    <x v="0"/>
    <n v="1400"/>
    <s v="Within Budget"/>
    <n v="20"/>
  </r>
  <r>
    <s v="Product Launch Q1"/>
    <s v="UI/UX Design"/>
    <x v="17"/>
    <s v="Critical"/>
    <d v="2025-01-16T00:00:00"/>
    <d v="2025-02-13T00:00:00"/>
    <m/>
    <n v="0.92"/>
    <n v="49000"/>
    <n v="49700"/>
    <x v="4"/>
    <n v="-700"/>
    <s v="Over Budget"/>
    <n v="585"/>
  </r>
  <r>
    <s v="Email Platform Migration"/>
    <s v="Backend Development"/>
    <x v="0"/>
    <s v="Low"/>
    <d v="2024-08-03T00:00:00"/>
    <d v="2024-10-13T00:00:00"/>
    <d v="2024-11-27T00:00:00"/>
    <n v="1"/>
    <n v="128000"/>
    <n v="146700"/>
    <x v="0"/>
    <n v="-18700"/>
    <s v="Over Budget"/>
    <n v="45"/>
  </r>
  <r>
    <s v="Annual Report"/>
    <s v="Requirements Gathering"/>
    <x v="22"/>
    <s v="Critical"/>
    <d v="2024-03-20T00:00:00"/>
    <d v="2024-04-03T00:00:00"/>
    <d v="2024-04-01T00:00:00"/>
    <n v="1"/>
    <n v="27000"/>
    <n v="27300"/>
    <x v="0"/>
    <n v="-300"/>
    <s v="Over Budget"/>
    <n v="-2"/>
  </r>
  <r>
    <s v="HR System Upgrade"/>
    <s v="Go-Live Preparation"/>
    <x v="23"/>
    <s v="Medium"/>
    <d v="2024-09-14T00:00:00"/>
    <d v="2024-09-28T00:00:00"/>
    <d v="2024-10-01T00:00:00"/>
    <n v="1"/>
    <n v="43000"/>
    <n v="36800"/>
    <x v="0"/>
    <n v="6200"/>
    <s v="Within Budget"/>
    <n v="3"/>
  </r>
  <r>
    <s v="Vendor Portal"/>
    <s v="Competitive Analysis"/>
    <x v="18"/>
    <s v="High"/>
    <d v="2024-03-25T00:00:00"/>
    <d v="2024-04-23T00:00:00"/>
    <d v="2024-05-12T00:00:00"/>
    <n v="1"/>
    <n v="31000"/>
    <n v="37100"/>
    <x v="0"/>
    <n v="-6100"/>
    <s v="Over Budget"/>
    <n v="19"/>
  </r>
  <r>
    <s v="Compliance Overhaul"/>
    <s v="Database Design"/>
    <x v="14"/>
    <s v="High"/>
    <d v="2024-02-13T00:00:00"/>
    <d v="2024-03-19T00:00:00"/>
    <m/>
    <n v="0.2"/>
    <n v="46000"/>
    <n v="51200"/>
    <x v="1"/>
    <n v="-5200"/>
    <s v="Over Budget"/>
    <n v="916"/>
  </r>
  <r>
    <s v="Cloud Infrastructure"/>
    <s v="Feedback Collection"/>
    <x v="15"/>
    <s v="Medium"/>
    <d v="2024-05-15T00:00:00"/>
    <d v="2024-06-19T00:00:00"/>
    <d v="2024-06-29T00:00:00"/>
    <n v="1"/>
    <n v="32000"/>
    <n v="42800"/>
    <x v="0"/>
    <n v="-10800"/>
    <s v="Over Budget"/>
    <n v="10"/>
  </r>
  <r>
    <s v="Email Platform Migration"/>
    <s v="Bug Fixes"/>
    <x v="11"/>
    <s v="Medium"/>
    <d v="2024-10-19T00:00:00"/>
    <d v="2024-11-20T00:00:00"/>
    <d v="2024-10-27T00:00:00"/>
    <n v="0.2"/>
    <n v="58000"/>
    <n v="4400"/>
    <x v="2"/>
    <n v="53600"/>
    <s v="Within Budget"/>
    <n v="-24"/>
  </r>
  <r>
    <s v="Inventory System"/>
    <s v="Code Review"/>
    <x v="17"/>
    <s v="Low"/>
    <d v="2025-04-01T00:00:00"/>
    <d v="2025-04-23T00:00:00"/>
    <m/>
    <n v="0.72"/>
    <n v="44000"/>
    <n v="26200"/>
    <x v="4"/>
    <n v="17800"/>
    <s v="Within Budget"/>
    <n v="516"/>
  </r>
  <r>
    <s v="API Gateway"/>
    <s v="Communication Plan"/>
    <x v="17"/>
    <s v="Medium"/>
    <d v="2024-09-09T00:00:00"/>
    <d v="2024-10-10T00:00:00"/>
    <d v="2024-10-01T00:00:00"/>
    <n v="1"/>
    <n v="75000"/>
    <n v="91900"/>
    <x v="0"/>
    <n v="-16900"/>
    <s v="Over Budget"/>
    <n v="-9"/>
  </r>
  <r>
    <s v="Product Launch Q2"/>
    <s v="Analytics Integration"/>
    <x v="14"/>
    <s v="High"/>
    <d v="2024-04-23T00:00:00"/>
    <d v="2024-05-01T00:00:00"/>
    <d v="2024-05-02T00:00:00"/>
    <n v="1"/>
    <n v="8000"/>
    <n v="7500"/>
    <x v="0"/>
    <n v="500"/>
    <s v="Within Budget"/>
    <n v="1"/>
  </r>
  <r>
    <s v="Data Warehouse Build"/>
    <s v="Change Management"/>
    <x v="22"/>
    <s v="High"/>
    <d v="2024-01-20T00:00:00"/>
    <d v="2024-01-30T00:00:00"/>
    <d v="2024-02-03T00:00:00"/>
    <n v="1"/>
    <n v="14000"/>
    <n v="12600"/>
    <x v="0"/>
    <n v="1400"/>
    <s v="Within Budget"/>
    <n v="4"/>
  </r>
  <r>
    <s v="Website Redesign"/>
    <s v="Contract Negotiation"/>
    <x v="7"/>
    <s v="Low"/>
    <d v="2024-05-05T00:00:00"/>
    <d v="2024-06-06T00:00:00"/>
    <m/>
    <n v="0.35"/>
    <n v="33000"/>
    <n v="29200"/>
    <x v="1"/>
    <n v="3800"/>
    <s v="Within Budget"/>
    <n v="837"/>
  </r>
  <r>
    <s v="Cloud Infrastructure"/>
    <s v="Retrospective"/>
    <x v="13"/>
    <s v="High"/>
    <d v="2024-11-20T00:00:00"/>
    <d v="2024-11-30T00:00:00"/>
    <d v="2024-11-22T00:00:00"/>
    <n v="0.3"/>
    <n v="9000"/>
    <n v="600"/>
    <x v="2"/>
    <n v="8400"/>
    <s v="Within Budget"/>
    <n v="-8"/>
  </r>
  <r>
    <s v="Onboarding Automation"/>
    <s v="Requirements Gathering"/>
    <x v="1"/>
    <s v="Low"/>
    <d v="2024-11-22T00:00:00"/>
    <d v="2024-12-07T00:00:00"/>
    <d v="2024-12-07T00:00:00"/>
    <n v="1"/>
    <n v="24000"/>
    <n v="23000"/>
    <x v="0"/>
    <n v="1000"/>
    <s v="Within Budget"/>
    <n v="0"/>
  </r>
  <r>
    <s v="Payment Integration"/>
    <s v="Post-Launch Review"/>
    <x v="4"/>
    <s v="High"/>
    <d v="2024-06-17T00:00:00"/>
    <d v="2024-06-28T00:00:00"/>
    <d v="2024-08-07T00:00:00"/>
    <n v="1"/>
    <n v="29000"/>
    <n v="34700"/>
    <x v="0"/>
    <n v="-5700"/>
    <s v="Over Budget"/>
    <n v="40"/>
  </r>
  <r>
    <s v="Marketing Automation"/>
    <s v="Budget Review"/>
    <x v="21"/>
    <s v="High"/>
    <d v="2025-03-24T00:00:00"/>
    <d v="2025-04-10T00:00:00"/>
    <m/>
    <n v="0"/>
    <n v="34000"/>
    <n v="0"/>
    <x v="3"/>
    <n v="34000"/>
    <s v="Within Budget"/>
    <n v="529"/>
  </r>
  <r>
    <s v="Budget Planning Tool"/>
    <s v="Quality Assurance"/>
    <x v="23"/>
    <s v="Low"/>
    <d v="2025-04-15T00:00:00"/>
    <d v="2025-05-08T00:00:00"/>
    <m/>
    <n v="0.48"/>
    <n v="33000"/>
    <n v="16100"/>
    <x v="4"/>
    <n v="16900"/>
    <s v="Within Budget"/>
    <n v="501"/>
  </r>
  <r>
    <s v="Marketing Automation"/>
    <s v="Analytics Integration"/>
    <x v="20"/>
    <s v="Low"/>
    <d v="2025-04-27T00:00:00"/>
    <d v="2025-05-26T00:00:00"/>
    <m/>
    <n v="0.16"/>
    <n v="30000"/>
    <n v="4200"/>
    <x v="4"/>
    <n v="25800"/>
    <s v="Within Budget"/>
    <n v="483"/>
  </r>
  <r>
    <s v="HR System Upgrade"/>
    <s v="Compliance Check"/>
    <x v="24"/>
    <s v="Low"/>
    <d v="2024-06-11T00:00:00"/>
    <d v="2024-07-05T00:00:00"/>
    <d v="2024-07-23T00:00:00"/>
    <n v="1"/>
    <n v="37000"/>
    <n v="35600"/>
    <x v="0"/>
    <n v="1400"/>
    <s v="Within Budget"/>
    <n v="18"/>
  </r>
  <r>
    <s v="Product Launch Q1"/>
    <s v="Quality Assurance"/>
    <x v="5"/>
    <s v="Critical"/>
    <d v="2024-06-14T00:00:00"/>
    <d v="2024-07-11T00:00:00"/>
    <d v="2024-07-15T00:00:00"/>
    <n v="1"/>
    <n v="50000"/>
    <n v="51100"/>
    <x v="0"/>
    <n v="-1100"/>
    <s v="Over Budget"/>
    <n v="4"/>
  </r>
  <r>
    <s v="Data Warehouse Build"/>
    <s v="UI/UX Design"/>
    <x v="1"/>
    <s v="Low"/>
    <d v="2024-10-15T00:00:00"/>
    <d v="2024-11-09T00:00:00"/>
    <d v="2024-12-21T00:00:00"/>
    <n v="1"/>
    <n v="46000"/>
    <n v="56200"/>
    <x v="0"/>
    <n v="-10200"/>
    <s v="Over Budget"/>
    <n v="42"/>
  </r>
  <r>
    <s v="Data Warehouse Build"/>
    <s v="Vendor Evaluation"/>
    <x v="15"/>
    <s v="Medium"/>
    <d v="2024-02-29T00:00:00"/>
    <d v="2024-03-30T00:00:00"/>
    <d v="2024-03-24T00:00:00"/>
    <n v="1"/>
    <n v="38000"/>
    <n v="44800"/>
    <x v="0"/>
    <n v="-6800"/>
    <s v="Over Budget"/>
    <n v="-6"/>
  </r>
  <r>
    <s v="Payment Integration"/>
    <s v="Requirements Gathering"/>
    <x v="15"/>
    <s v="Medium"/>
    <d v="2024-12-20T00:00:00"/>
    <d v="2025-01-01T00:00:00"/>
    <d v="2025-01-09T00:00:00"/>
    <n v="1"/>
    <n v="15000"/>
    <n v="20900"/>
    <x v="0"/>
    <n v="-5900"/>
    <s v="Over Budget"/>
    <n v="8"/>
  </r>
  <r>
    <s v="DevOps Pipeline"/>
    <s v="Stakeholder Interviews"/>
    <x v="11"/>
    <s v="Critical"/>
    <d v="2024-08-06T00:00:00"/>
    <d v="2024-08-12T00:00:00"/>
    <d v="2024-09-25T00:00:00"/>
    <n v="1"/>
    <n v="9000"/>
    <n v="8100"/>
    <x v="0"/>
    <n v="900"/>
    <s v="Within Budget"/>
    <n v="44"/>
  </r>
  <r>
    <s v="Website Redesign"/>
    <s v="User Acceptance Testing"/>
    <x v="0"/>
    <s v="Medium"/>
    <d v="2024-11-18T00:00:00"/>
    <d v="2024-12-04T00:00:00"/>
    <d v="2024-12-22T00:00:00"/>
    <n v="1"/>
    <n v="22000"/>
    <n v="30600"/>
    <x v="0"/>
    <n v="-8600"/>
    <s v="Over Budget"/>
    <n v="18"/>
  </r>
  <r>
    <s v="Product Launch Q2"/>
    <s v="Analytics Integration"/>
    <x v="9"/>
    <s v="Low"/>
    <d v="2024-02-21T00:00:00"/>
    <d v="2024-02-28T00:00:00"/>
    <d v="2024-03-23T00:00:00"/>
    <n v="1"/>
    <n v="11000"/>
    <n v="11900"/>
    <x v="0"/>
    <n v="-900"/>
    <s v="Over Budget"/>
    <n v="24"/>
  </r>
  <r>
    <s v="Security Audit"/>
    <s v="Status Reporting"/>
    <x v="0"/>
    <s v="Medium"/>
    <d v="2025-05-27T00:00:00"/>
    <d v="2025-06-06T00:00:00"/>
    <m/>
    <n v="0"/>
    <n v="5000"/>
    <n v="0"/>
    <x v="3"/>
    <n v="5000"/>
    <s v="Within Budget"/>
    <n v="472"/>
  </r>
  <r>
    <s v="Training Platform"/>
    <s v="Bug Fixes"/>
    <x v="19"/>
    <s v="Medium"/>
    <d v="2024-02-25T00:00:00"/>
    <d v="2024-03-25T00:00:00"/>
    <m/>
    <n v="0.62"/>
    <n v="47000"/>
    <n v="27900"/>
    <x v="1"/>
    <n v="19100"/>
    <s v="Within Budget"/>
    <n v="910"/>
  </r>
  <r>
    <s v="Cloud Infrastructure"/>
    <s v="Performance Testing"/>
    <x v="4"/>
    <s v="High"/>
    <d v="2024-09-18T00:00:00"/>
    <d v="2024-09-27T00:00:00"/>
    <m/>
    <n v="0.56000000000000005"/>
    <n v="12000"/>
    <n v="8700"/>
    <x v="1"/>
    <n v="3300"/>
    <s v="Within Budget"/>
    <n v="724"/>
  </r>
  <r>
    <s v="Website Redesign"/>
    <s v="Asset Design"/>
    <x v="17"/>
    <s v="High"/>
    <d v="2024-01-21T00:00:00"/>
    <d v="2024-01-30T00:00:00"/>
    <m/>
    <n v="0.63"/>
    <n v="7000"/>
    <n v="5900"/>
    <x v="1"/>
    <n v="1100"/>
    <s v="Within Budget"/>
    <n v="965"/>
  </r>
  <r>
    <s v="Customer Portal"/>
    <s v="Data Migration"/>
    <x v="6"/>
    <s v="High"/>
    <d v="2024-10-14T00:00:00"/>
    <d v="2024-11-21T00:00:00"/>
    <d v="2024-11-29T00:00:00"/>
    <n v="1"/>
    <n v="42000"/>
    <n v="44400"/>
    <x v="0"/>
    <n v="-2400"/>
    <s v="Over Budget"/>
    <n v="8"/>
  </r>
  <r>
    <s v="Security Audit"/>
    <s v="Security Review"/>
    <x v="10"/>
    <s v="Critical"/>
    <d v="2025-03-21T00:00:00"/>
    <d v="2025-04-02T00:00:00"/>
    <m/>
    <n v="0"/>
    <n v="20000"/>
    <n v="0"/>
    <x v="3"/>
    <n v="20000"/>
    <s v="Within Budget"/>
    <n v="537"/>
  </r>
  <r>
    <s v="Security Audit"/>
    <s v="Budget Review"/>
    <x v="7"/>
    <s v="Low"/>
    <d v="2024-11-15T00:00:00"/>
    <d v="2024-12-17T00:00:00"/>
    <d v="2024-12-17T00:00:00"/>
    <n v="1"/>
    <n v="79000"/>
    <n v="105900"/>
    <x v="0"/>
    <n v="-26900"/>
    <s v="Over Budget"/>
    <n v="0"/>
  </r>
  <r>
    <s v="DevOps Pipeline"/>
    <s v="Asset Design"/>
    <x v="24"/>
    <s v="High"/>
    <d v="2025-01-18T00:00:00"/>
    <d v="2025-02-09T00:00:00"/>
    <d v="2025-02-27T00:00:00"/>
    <n v="1"/>
    <n v="49000"/>
    <n v="51700"/>
    <x v="0"/>
    <n v="-2700"/>
    <s v="Over Budget"/>
    <n v="18"/>
  </r>
  <r>
    <s v="Brand Refresh"/>
    <s v="Bug Fixes"/>
    <x v="6"/>
    <s v="Low"/>
    <d v="2025-03-08T00:00:00"/>
    <d v="2025-04-07T00:00:00"/>
    <m/>
    <n v="0.14000000000000001"/>
    <n v="40000"/>
    <n v="6200"/>
    <x v="4"/>
    <n v="33800"/>
    <s v="Within Budget"/>
    <n v="532"/>
  </r>
  <r>
    <s v="Budget Planning Tool"/>
    <s v="Risk Assessment"/>
    <x v="2"/>
    <s v="High"/>
    <d v="2025-03-12T00:00:00"/>
    <d v="2025-03-29T00:00:00"/>
    <m/>
    <n v="0"/>
    <n v="14000"/>
    <n v="0"/>
    <x v="3"/>
    <n v="14000"/>
    <s v="Within Budget"/>
    <n v="541"/>
  </r>
  <r>
    <s v="Payment Integration"/>
    <s v="Go-Live Preparation"/>
    <x v="13"/>
    <s v="Critical"/>
    <d v="2025-01-24T00:00:00"/>
    <d v="2025-02-11T00:00:00"/>
    <m/>
    <n v="0.23"/>
    <n v="38000"/>
    <n v="29900"/>
    <x v="1"/>
    <n v="8100"/>
    <s v="Within Budget"/>
    <n v="587"/>
  </r>
  <r>
    <s v="Email Platform Migration"/>
    <s v="Technical Architecture"/>
    <x v="12"/>
    <s v="High"/>
    <d v="2025-05-09T00:00:00"/>
    <d v="2025-06-01T00:00:00"/>
    <m/>
    <n v="0"/>
    <n v="40000"/>
    <n v="0"/>
    <x v="3"/>
    <n v="40000"/>
    <s v="Within Budget"/>
    <n v="477"/>
  </r>
  <r>
    <s v="Customer Portal"/>
    <s v="System Configuration"/>
    <x v="15"/>
    <s v="Critical"/>
    <d v="2024-07-13T00:00:00"/>
    <d v="2024-08-07T00:00:00"/>
    <d v="2024-09-02T00:00:00"/>
    <n v="1"/>
    <n v="15000"/>
    <n v="14600"/>
    <x v="0"/>
    <n v="400"/>
    <s v="Within Budget"/>
    <n v="26"/>
  </r>
  <r>
    <s v="Customer Portal"/>
    <s v="Competitive Analysis"/>
    <x v="4"/>
    <s v="High"/>
    <d v="2025-01-17T00:00:00"/>
    <d v="2025-02-06T00:00:00"/>
    <m/>
    <n v="0.25"/>
    <n v="43000"/>
    <n v="11700"/>
    <x v="4"/>
    <n v="31300"/>
    <s v="Within Budget"/>
    <n v="592"/>
  </r>
  <r>
    <s v="Supply Chain Optimization"/>
    <s v="Retrospective"/>
    <x v="0"/>
    <s v="High"/>
    <d v="2024-06-03T00:00:00"/>
    <d v="2024-06-13T00:00:00"/>
    <d v="2024-06-25T00:00:00"/>
    <n v="1"/>
    <n v="15000"/>
    <n v="13800"/>
    <x v="0"/>
    <n v="1200"/>
    <s v="Within Budget"/>
    <n v="12"/>
  </r>
  <r>
    <s v="Supply Chain Optimization"/>
    <s v="Budget Review"/>
    <x v="2"/>
    <s v="Medium"/>
    <d v="2024-06-19T00:00:00"/>
    <d v="2024-07-04T00:00:00"/>
    <d v="2024-07-05T00:00:00"/>
    <n v="1"/>
    <n v="10000"/>
    <n v="12300"/>
    <x v="0"/>
    <n v="-2300"/>
    <s v="Over Budget"/>
    <n v="1"/>
  </r>
  <r>
    <s v="Social Media Revamp"/>
    <s v="Performance Testing"/>
    <x v="20"/>
    <s v="Medium"/>
    <d v="2024-02-03T00:00:00"/>
    <d v="2024-03-07T00:00:00"/>
    <d v="2024-03-08T00:00:00"/>
    <n v="1"/>
    <n v="95000"/>
    <n v="96300"/>
    <x v="0"/>
    <n v="-1300"/>
    <s v="Over Budget"/>
    <n v="1"/>
  </r>
  <r>
    <s v="Email Platform Migration"/>
    <s v="A/B Testing Setup"/>
    <x v="1"/>
    <s v="High"/>
    <d v="2025-03-03T00:00:00"/>
    <d v="2025-03-26T00:00:00"/>
    <m/>
    <n v="0"/>
    <n v="46000"/>
    <n v="0"/>
    <x v="3"/>
    <n v="46000"/>
    <s v="Within Budget"/>
    <n v="544"/>
  </r>
  <r>
    <s v="Training Platform"/>
    <s v="Unit Testing"/>
    <x v="21"/>
    <s v="Low"/>
    <d v="2024-07-12T00:00:00"/>
    <d v="2024-07-29T00:00:00"/>
    <d v="2024-07-31T00:00:00"/>
    <n v="1"/>
    <n v="21000"/>
    <n v="25600"/>
    <x v="0"/>
    <n v="-4600"/>
    <s v="Over Budget"/>
    <n v="2"/>
  </r>
  <r>
    <s v="Product Launch Q1"/>
    <s v="Security Review"/>
    <x v="9"/>
    <s v="Medium"/>
    <d v="2025-04-14T00:00:00"/>
    <d v="2025-05-10T00:00:00"/>
    <m/>
    <n v="0.1"/>
    <n v="43000"/>
    <n v="4300"/>
    <x v="4"/>
    <n v="38700"/>
    <s v="Within Budget"/>
    <n v="499"/>
  </r>
  <r>
    <s v="API Gateway"/>
    <s v="SEO Optimization"/>
    <x v="19"/>
    <s v="Medium"/>
    <d v="2024-01-17T00:00:00"/>
    <d v="2024-01-31T00:00:00"/>
    <d v="2024-01-22T00:00:00"/>
    <n v="0.15"/>
    <n v="48000"/>
    <n v="10200"/>
    <x v="2"/>
    <n v="37800"/>
    <s v="Within Budget"/>
    <n v="-9"/>
  </r>
  <r>
    <s v="Inventory System"/>
    <s v="Asset Design"/>
    <x v="7"/>
    <s v="Medium"/>
    <d v="2024-10-06T00:00:00"/>
    <d v="2024-10-21T00:00:00"/>
    <d v="2024-10-07T00:00:00"/>
    <n v="0"/>
    <n v="31000"/>
    <n v="10600"/>
    <x v="2"/>
    <n v="20400"/>
    <s v="Within Budget"/>
    <n v="-14"/>
  </r>
  <r>
    <s v="API Gateway"/>
    <s v="Quality Assurance"/>
    <x v="15"/>
    <s v="Critical"/>
    <d v="2024-09-22T00:00:00"/>
    <d v="2024-10-27T00:00:00"/>
    <d v="2024-12-03T00:00:00"/>
    <n v="1"/>
    <n v="89000"/>
    <n v="101700"/>
    <x v="0"/>
    <n v="-12700"/>
    <s v="Over Budget"/>
    <n v="37"/>
  </r>
  <r>
    <s v="Training Platform"/>
    <s v="Competitive Analysis"/>
    <x v="22"/>
    <s v="Medium"/>
    <d v="2024-04-20T00:00:00"/>
    <d v="2024-05-22T00:00:00"/>
    <d v="2024-04-28T00:00:00"/>
    <n v="0"/>
    <n v="67000"/>
    <n v="9100"/>
    <x v="2"/>
    <n v="57900"/>
    <s v="Within Budget"/>
    <n v="-24"/>
  </r>
  <r>
    <s v="Marketing Automation"/>
    <s v="Backend Development"/>
    <x v="16"/>
    <s v="Medium"/>
    <d v="2024-07-31T00:00:00"/>
    <d v="2024-10-29T00:00:00"/>
    <d v="2024-12-09T00:00:00"/>
    <n v="1"/>
    <n v="175000"/>
    <n v="148800"/>
    <x v="0"/>
    <n v="26200"/>
    <s v="Within Budget"/>
    <n v="41"/>
  </r>
  <r>
    <s v="CRM Migration"/>
    <s v="Communication Plan"/>
    <x v="15"/>
    <s v="Low"/>
    <d v="2024-02-29T00:00:00"/>
    <d v="2024-03-16T00:00:00"/>
    <d v="2024-03-04T00:00:00"/>
    <n v="0.1"/>
    <n v="13000"/>
    <n v="2900"/>
    <x v="2"/>
    <n v="10100"/>
    <s v="Within Budget"/>
    <n v="-12"/>
  </r>
  <r>
    <s v="ERP Implementation"/>
    <s v="Status Reporting"/>
    <x v="2"/>
    <s v="Low"/>
    <d v="2024-03-01T00:00:00"/>
    <d v="2024-03-17T00:00:00"/>
    <m/>
    <n v="0.55000000000000004"/>
    <n v="31000"/>
    <n v="19100"/>
    <x v="1"/>
    <n v="11900"/>
    <s v="Within Budget"/>
    <n v="918"/>
  </r>
  <r>
    <s v="Product Launch Q2"/>
    <s v="Accessibility Audit"/>
    <x v="8"/>
    <s v="High"/>
    <d v="2024-12-10T00:00:00"/>
    <d v="2024-12-26T00:00:00"/>
    <d v="2024-12-12T00:00:00"/>
    <n v="0.25"/>
    <n v="23000"/>
    <n v="8200"/>
    <x v="2"/>
    <n v="14800"/>
    <s v="Within Budget"/>
    <n v="-14"/>
  </r>
  <r>
    <s v="ERP Implementation"/>
    <s v="Sprint Planning"/>
    <x v="18"/>
    <s v="High"/>
    <d v="2025-06-22T00:00:00"/>
    <d v="2025-07-05T00:00:00"/>
    <m/>
    <n v="0"/>
    <n v="22000"/>
    <n v="0"/>
    <x v="3"/>
    <n v="22000"/>
    <s v="Within Budget"/>
    <n v="443"/>
  </r>
  <r>
    <s v="Marketing Automation"/>
    <s v="Technical Architecture"/>
    <x v="13"/>
    <s v="Critical"/>
    <d v="2025-06-07T00:00:00"/>
    <d v="2025-06-17T00:00:00"/>
    <m/>
    <n v="0"/>
    <n v="13000"/>
    <n v="0"/>
    <x v="3"/>
    <n v="13000"/>
    <s v="Within Budget"/>
    <n v="461"/>
  </r>
  <r>
    <s v="Training Platform"/>
    <s v="Feedback Collection"/>
    <x v="17"/>
    <s v="High"/>
    <d v="2024-12-19T00:00:00"/>
    <d v="2025-01-13T00:00:00"/>
    <m/>
    <n v="0.43"/>
    <n v="24000"/>
    <n v="10200"/>
    <x v="5"/>
    <n v="13800"/>
    <s v="Within Budget"/>
    <n v="616"/>
  </r>
  <r>
    <s v="CRM Migration"/>
    <s v="Contract Negotiation"/>
    <x v="8"/>
    <s v="High"/>
    <d v="2025-01-15T00:00:00"/>
    <d v="2025-02-02T00:00:00"/>
    <d v="2025-02-22T00:00:00"/>
    <n v="1"/>
    <n v="13000"/>
    <n v="11200"/>
    <x v="0"/>
    <n v="1800"/>
    <s v="Within Budget"/>
    <n v="20"/>
  </r>
  <r>
    <s v="Mobile App Launch"/>
    <s v="Accessibility Audit"/>
    <x v="24"/>
    <s v="Critical"/>
    <d v="2025-06-25T00:00:00"/>
    <d v="2025-07-23T00:00:00"/>
    <m/>
    <n v="0"/>
    <n v="37000"/>
    <n v="0"/>
    <x v="3"/>
    <n v="37000"/>
    <s v="Within Budget"/>
    <n v="425"/>
  </r>
  <r>
    <s v="Training Platform"/>
    <s v="Backend Development"/>
    <x v="13"/>
    <s v="High"/>
    <d v="2024-11-27T00:00:00"/>
    <d v="2025-02-15T00:00:00"/>
    <m/>
    <n v="0.69"/>
    <n v="107000"/>
    <n v="22200"/>
    <x v="5"/>
    <n v="84800"/>
    <s v="Within Budget"/>
    <n v="583"/>
  </r>
  <r>
    <s v="Product Launch Q2"/>
    <s v="Bug Fixes"/>
    <x v="1"/>
    <s v="Medium"/>
    <d v="2025-03-02T00:00:00"/>
    <d v="2025-04-06T00:00:00"/>
    <m/>
    <n v="0.23"/>
    <n v="73000"/>
    <n v="20100"/>
    <x v="4"/>
    <n v="52900"/>
    <s v="Within Budget"/>
    <n v="533"/>
  </r>
  <r>
    <s v="Payment Integration"/>
    <s v="UI/UX Design"/>
    <x v="16"/>
    <s v="High"/>
    <d v="2024-01-18T00:00:00"/>
    <d v="2024-02-07T00:00:00"/>
    <d v="2024-02-17T00:00:00"/>
    <n v="1"/>
    <n v="32000"/>
    <n v="40100"/>
    <x v="0"/>
    <n v="-8100"/>
    <s v="Over Budget"/>
    <n v="10"/>
  </r>
  <r>
    <s v="Brand Refresh"/>
    <s v="Status Reporting"/>
    <x v="10"/>
    <s v="Medium"/>
    <d v="2025-02-17T00:00:00"/>
    <d v="2025-03-12T00:00:00"/>
    <m/>
    <n v="0.7"/>
    <n v="36000"/>
    <n v="21200"/>
    <x v="4"/>
    <n v="14800"/>
    <s v="Within Budget"/>
    <n v="558"/>
  </r>
  <r>
    <s v="Social Media Revamp"/>
    <s v="User Acceptance Testing"/>
    <x v="19"/>
    <s v="Low"/>
    <d v="2024-09-04T00:00:00"/>
    <d v="2024-09-26T00:00:00"/>
    <d v="2024-09-08T00:00:00"/>
    <n v="0.3"/>
    <n v="23000"/>
    <n v="6600"/>
    <x v="2"/>
    <n v="16400"/>
    <s v="Within Budget"/>
    <n v="-18"/>
  </r>
  <r>
    <s v="Chatbot Development"/>
    <s v="User Training"/>
    <x v="15"/>
    <s v="Medium"/>
    <d v="2024-06-11T00:00:00"/>
    <d v="2024-07-15T00:00:00"/>
    <d v="2024-07-19T00:00:00"/>
    <n v="1"/>
    <n v="47000"/>
    <n v="41100"/>
    <x v="0"/>
    <n v="5900"/>
    <s v="Within Budget"/>
    <n v="4"/>
  </r>
  <r>
    <s v="Product Launch Q2"/>
    <s v="Performance Testing"/>
    <x v="18"/>
    <s v="Medium"/>
    <d v="2024-05-02T00:00:00"/>
    <d v="2024-05-30T00:00:00"/>
    <m/>
    <n v="0.78"/>
    <n v="18000"/>
    <n v="12600"/>
    <x v="1"/>
    <n v="5400"/>
    <s v="Within Budget"/>
    <n v="844"/>
  </r>
  <r>
    <s v="HR System Upgrade"/>
    <s v="Documentation"/>
    <x v="1"/>
    <s v="High"/>
    <d v="2025-06-14T00:00:00"/>
    <d v="2025-07-19T00:00:00"/>
    <m/>
    <n v="0"/>
    <n v="74000"/>
    <n v="0"/>
    <x v="3"/>
    <n v="74000"/>
    <s v="Within Budget"/>
    <n v="429"/>
  </r>
  <r>
    <s v="Supply Chain Optimization"/>
    <s v="Frontend Development"/>
    <x v="12"/>
    <s v="Medium"/>
    <d v="2025-03-25T00:00:00"/>
    <d v="2025-04-24T00:00:00"/>
    <m/>
    <n v="0"/>
    <n v="35000"/>
    <n v="0"/>
    <x v="3"/>
    <n v="35000"/>
    <s v="Within Budget"/>
    <n v="515"/>
  </r>
  <r>
    <s v="DevOps Pipeline"/>
    <s v="Risk Assessment"/>
    <x v="11"/>
    <s v="High"/>
    <d v="2025-02-12T00:00:00"/>
    <d v="2025-02-22T00:00:00"/>
    <d v="2025-03-13T00:00:00"/>
    <n v="1"/>
    <n v="6000"/>
    <n v="5900"/>
    <x v="0"/>
    <n v="100"/>
    <s v="Within Budget"/>
    <n v="19"/>
  </r>
  <r>
    <s v="Brand Refresh"/>
    <s v="Budget Review"/>
    <x v="6"/>
    <s v="Low"/>
    <d v="2024-01-07T00:00:00"/>
    <d v="2024-02-08T00:00:00"/>
    <d v="2024-03-06T00:00:00"/>
    <n v="1"/>
    <n v="46000"/>
    <n v="50000"/>
    <x v="0"/>
    <n v="-4000"/>
    <s v="Over Budget"/>
    <n v="27"/>
  </r>
  <r>
    <s v="Social Media Revamp"/>
    <s v="Change Management"/>
    <x v="5"/>
    <s v="Medium"/>
    <d v="2024-09-12T00:00:00"/>
    <d v="2024-10-12T00:00:00"/>
    <d v="2024-10-19T00:00:00"/>
    <n v="1"/>
    <n v="40000"/>
    <n v="42100"/>
    <x v="0"/>
    <n v="-2100"/>
    <s v="Over Budget"/>
    <n v="7"/>
  </r>
  <r>
    <s v="Performance Review System"/>
    <s v="Asset Design"/>
    <x v="23"/>
    <s v="Medium"/>
    <d v="2024-02-17T00:00:00"/>
    <d v="2024-03-03T00:00:00"/>
    <d v="2024-03-16T00:00:00"/>
    <n v="1"/>
    <n v="23000"/>
    <n v="24000"/>
    <x v="0"/>
    <n v="-1000"/>
    <s v="Over Budget"/>
    <n v="13"/>
  </r>
  <r>
    <s v="Performance Review System"/>
    <s v="Accessibility Audit"/>
    <x v="16"/>
    <s v="Low"/>
    <d v="2025-02-04T00:00:00"/>
    <d v="2025-03-02T00:00:00"/>
    <m/>
    <n v="0.31"/>
    <n v="42000"/>
    <n v="14300"/>
    <x v="4"/>
    <n v="27700"/>
    <s v="Within Budget"/>
    <n v="568"/>
  </r>
  <r>
    <s v="Inventory System"/>
    <s v="Monitoring Setup"/>
    <x v="16"/>
    <s v="Medium"/>
    <d v="2025-03-08T00:00:00"/>
    <d v="2025-04-02T00:00:00"/>
    <m/>
    <n v="0.43"/>
    <n v="20000"/>
    <n v="9700"/>
    <x v="4"/>
    <n v="10300"/>
    <s v="Within Budget"/>
    <n v="537"/>
  </r>
  <r>
    <s v="Office Relocation"/>
    <s v="Risk Assessment"/>
    <x v="7"/>
    <s v="Medium"/>
    <d v="2024-07-03T00:00:00"/>
    <d v="2024-07-21T00:00:00"/>
    <d v="2024-07-12T00:00:00"/>
    <n v="1"/>
    <n v="49000"/>
    <n v="55800"/>
    <x v="0"/>
    <n v="-6800"/>
    <s v="Over Budget"/>
    <n v="-9"/>
  </r>
  <r>
    <s v="Inventory System"/>
    <s v="Quality Assurance"/>
    <x v="23"/>
    <s v="Low"/>
    <d v="2024-07-09T00:00:00"/>
    <d v="2024-08-09T00:00:00"/>
    <d v="2024-07-19T00:00:00"/>
    <n v="0.3"/>
    <n v="91000"/>
    <n v="25700"/>
    <x v="2"/>
    <n v="65300"/>
    <s v="Within Budget"/>
    <n v="-21"/>
  </r>
  <r>
    <s v="API Gateway"/>
    <s v="Budget Review"/>
    <x v="24"/>
    <s v="High"/>
    <d v="2024-09-10T00:00:00"/>
    <d v="2024-10-01T00:00:00"/>
    <m/>
    <n v="0.82"/>
    <n v="12000"/>
    <n v="8900"/>
    <x v="1"/>
    <n v="3100"/>
    <s v="Within Budget"/>
    <n v="720"/>
  </r>
  <r>
    <s v="Payment Integration"/>
    <s v="SEO Optimization"/>
    <x v="15"/>
    <s v="Critical"/>
    <d v="2024-12-06T00:00:00"/>
    <d v="2024-12-28T00:00:00"/>
    <d v="2024-12-17T00:00:00"/>
    <n v="0.15"/>
    <n v="20000"/>
    <n v="7800"/>
    <x v="2"/>
    <n v="12200"/>
    <s v="Within Budget"/>
    <n v="-11"/>
  </r>
  <r>
    <s v="Marketing Automation"/>
    <s v="Communication Plan"/>
    <x v="14"/>
    <s v="Medium"/>
    <d v="2024-08-17T00:00:00"/>
    <d v="2024-09-07T00:00:00"/>
    <d v="2024-09-04T00:00:00"/>
    <n v="1"/>
    <n v="17000"/>
    <n v="20300"/>
    <x v="0"/>
    <n v="-3300"/>
    <s v="Over Budget"/>
    <n v="-3"/>
  </r>
  <r>
    <s v="Marketing Automation"/>
    <s v="Go-Live Preparation"/>
    <x v="7"/>
    <s v="High"/>
    <d v="2024-02-09T00:00:00"/>
    <d v="2024-02-17T00:00:00"/>
    <d v="2024-02-13T00:00:00"/>
    <n v="0.25"/>
    <n v="4000"/>
    <n v="1000"/>
    <x v="2"/>
    <n v="3000"/>
    <s v="Within Budget"/>
    <n v="-4"/>
  </r>
  <r>
    <s v="Onboarding Automation"/>
    <s v="Iteration Planning"/>
    <x v="17"/>
    <s v="Low"/>
    <d v="2025-04-08T00:00:00"/>
    <d v="2025-05-09T00:00:00"/>
    <m/>
    <n v="0"/>
    <n v="92000"/>
    <n v="0"/>
    <x v="3"/>
    <n v="92000"/>
    <s v="Within Budget"/>
    <n v="500"/>
  </r>
  <r>
    <s v="ERP Implementation"/>
    <s v="Contract Negotiation"/>
    <x v="10"/>
    <s v="High"/>
    <d v="2025-06-25T00:00:00"/>
    <d v="2025-07-22T00:00:00"/>
    <m/>
    <n v="0"/>
    <n v="21000"/>
    <n v="0"/>
    <x v="3"/>
    <n v="21000"/>
    <s v="Within Budget"/>
    <n v="426"/>
  </r>
  <r>
    <s v="Compliance Overhaul"/>
    <s v="Analytics Integration"/>
    <x v="0"/>
    <s v="Critical"/>
    <d v="2024-09-07T00:00:00"/>
    <d v="2024-10-10T00:00:00"/>
    <d v="2024-10-23T00:00:00"/>
    <n v="1"/>
    <n v="49000"/>
    <n v="60600"/>
    <x v="0"/>
    <n v="-11600"/>
    <s v="Over Budget"/>
    <n v="13"/>
  </r>
  <r>
    <s v="Performance Review System"/>
    <s v="Status Reporting"/>
    <x v="20"/>
    <s v="Medium"/>
    <d v="2024-07-20T00:00:00"/>
    <d v="2024-07-30T00:00:00"/>
    <d v="2024-07-30T00:00:00"/>
    <n v="1"/>
    <n v="11000"/>
    <n v="12500"/>
    <x v="0"/>
    <n v="-1500"/>
    <s v="Over Budget"/>
    <n v="0"/>
  </r>
  <r>
    <s v="Performance Review System"/>
    <s v="System Configuration"/>
    <x v="3"/>
    <s v="Low"/>
    <d v="2025-05-13T00:00:00"/>
    <d v="2025-05-23T00:00:00"/>
    <m/>
    <n v="0"/>
    <n v="8000"/>
    <n v="0"/>
    <x v="3"/>
    <n v="8000"/>
    <s v="Within Budget"/>
    <n v="486"/>
  </r>
  <r>
    <s v="Training Platform"/>
    <s v="Post-Launch Review"/>
    <x v="17"/>
    <s v="High"/>
    <d v="2024-08-08T00:00:00"/>
    <d v="2024-08-25T00:00:00"/>
    <d v="2024-08-30T00:00:00"/>
    <n v="1"/>
    <n v="31000"/>
    <n v="36700"/>
    <x v="0"/>
    <n v="-5700"/>
    <s v="Over Budget"/>
    <n v="5"/>
  </r>
  <r>
    <s v="Compliance Overhaul"/>
    <s v="Database Design"/>
    <x v="3"/>
    <s v="Low"/>
    <d v="2024-11-08T00:00:00"/>
    <d v="2024-12-21T00:00:00"/>
    <m/>
    <n v="0.47"/>
    <n v="62000"/>
    <n v="68300"/>
    <x v="1"/>
    <n v="-6300"/>
    <s v="Over Budget"/>
    <n v="639"/>
  </r>
  <r>
    <s v="Budget Planning Tool"/>
    <s v="Communication Plan"/>
    <x v="7"/>
    <s v="High"/>
    <d v="2024-08-08T00:00:00"/>
    <d v="2024-08-27T00:00:00"/>
    <d v="2024-09-08T00:00:00"/>
    <n v="1"/>
    <n v="14000"/>
    <n v="14200"/>
    <x v="0"/>
    <n v="-200"/>
    <s v="Over Budget"/>
    <n v="12"/>
  </r>
  <r>
    <s v="Marketing Automation"/>
    <s v="Frontend Development"/>
    <x v="13"/>
    <s v="Low"/>
    <d v="2024-05-14T00:00:00"/>
    <d v="2024-08-10T00:00:00"/>
    <m/>
    <n v="0.67"/>
    <n v="193000"/>
    <n v="146200"/>
    <x v="1"/>
    <n v="46800"/>
    <s v="Within Budget"/>
    <n v="772"/>
  </r>
  <r>
    <s v="Customer Portal"/>
    <s v="Data Migration"/>
    <x v="22"/>
    <s v="Low"/>
    <d v="2024-08-05T00:00:00"/>
    <d v="2024-10-24T00:00:00"/>
    <d v="2024-11-30T00:00:00"/>
    <n v="1"/>
    <n v="150000"/>
    <n v="168500"/>
    <x v="0"/>
    <n v="-18500"/>
    <s v="Over Budget"/>
    <n v="37"/>
  </r>
  <r>
    <s v="Compliance Overhaul"/>
    <s v="Security Review"/>
    <x v="18"/>
    <s v="High"/>
    <d v="2024-09-12T00:00:00"/>
    <d v="2024-09-20T00:00:00"/>
    <d v="2024-09-20T00:00:00"/>
    <n v="1"/>
    <n v="13000"/>
    <n v="17200"/>
    <x v="0"/>
    <n v="-4200"/>
    <s v="Over Budget"/>
    <n v="0"/>
  </r>
  <r>
    <s v="CRM Migration"/>
    <s v="Communication Plan"/>
    <x v="10"/>
    <s v="Critical"/>
    <d v="2024-12-21T00:00:00"/>
    <d v="2025-01-19T00:00:00"/>
    <m/>
    <n v="0.83"/>
    <n v="33000"/>
    <n v="26000"/>
    <x v="4"/>
    <n v="7000"/>
    <s v="Within Budget"/>
    <n v="610"/>
  </r>
  <r>
    <s v="Brand Refresh"/>
    <s v="Communication Plan"/>
    <x v="3"/>
    <s v="Low"/>
    <d v="2024-01-14T00:00:00"/>
    <d v="2024-02-16T00:00:00"/>
    <d v="2024-03-04T00:00:00"/>
    <n v="1"/>
    <n v="47000"/>
    <n v="50800"/>
    <x v="0"/>
    <n v="-3800"/>
    <s v="Over Budget"/>
    <n v="17"/>
  </r>
  <r>
    <s v="Inventory System"/>
    <s v="Optimization"/>
    <x v="21"/>
    <s v="High"/>
    <d v="2024-03-20T00:00:00"/>
    <d v="2024-03-28T00:00:00"/>
    <d v="2024-04-13T00:00:00"/>
    <n v="1"/>
    <n v="7000"/>
    <n v="9200"/>
    <x v="0"/>
    <n v="-2200"/>
    <s v="Over Budget"/>
    <n v="16"/>
  </r>
  <r>
    <s v="Vendor Portal"/>
    <s v="Database Design"/>
    <x v="17"/>
    <s v="High"/>
    <d v="2024-03-07T00:00:00"/>
    <d v="2024-04-04T00:00:00"/>
    <d v="2024-04-04T00:00:00"/>
    <n v="1"/>
    <n v="12000"/>
    <n v="16200"/>
    <x v="0"/>
    <n v="-4200"/>
    <s v="Over Budget"/>
    <n v="0"/>
  </r>
  <r>
    <s v="Supply Chain Optimization"/>
    <s v="API Development"/>
    <x v="16"/>
    <s v="Medium"/>
    <d v="2024-02-11T00:00:00"/>
    <d v="2024-03-14T00:00:00"/>
    <d v="2024-03-31T00:00:00"/>
    <n v="1"/>
    <n v="83000"/>
    <n v="83300"/>
    <x v="0"/>
    <n v="-300"/>
    <s v="Over Budget"/>
    <n v="17"/>
  </r>
  <r>
    <s v="API Gateway"/>
    <s v="Risk Assessment"/>
    <x v="16"/>
    <s v="Medium"/>
    <d v="2024-07-22T00:00:00"/>
    <d v="2024-08-16T00:00:00"/>
    <d v="2024-08-28T00:00:00"/>
    <n v="1"/>
    <n v="29000"/>
    <n v="25800"/>
    <x v="0"/>
    <n v="3200"/>
    <s v="Within Budget"/>
    <n v="12"/>
  </r>
  <r>
    <s v="Annual Report"/>
    <s v="Documentation"/>
    <x v="23"/>
    <s v="Medium"/>
    <d v="2025-03-16T00:00:00"/>
    <d v="2025-03-29T00:00:00"/>
    <m/>
    <n v="0"/>
    <n v="39000"/>
    <n v="0"/>
    <x v="3"/>
    <n v="39000"/>
    <s v="Within Budget"/>
    <n v="541"/>
  </r>
  <r>
    <s v="CRM Migration"/>
    <s v="Competitive Analysis"/>
    <x v="18"/>
    <s v="Low"/>
    <d v="2024-08-30T00:00:00"/>
    <d v="2024-10-02T00:00:00"/>
    <d v="2024-10-10T00:00:00"/>
    <n v="1"/>
    <n v="91000"/>
    <n v="112700"/>
    <x v="0"/>
    <n v="-21700"/>
    <s v="Over Budget"/>
    <n v="8"/>
  </r>
  <r>
    <s v="Analytics Dashboard"/>
    <s v="Market Research"/>
    <x v="18"/>
    <s v="Medium"/>
    <d v="2024-01-16T00:00:00"/>
    <d v="2024-01-31T00:00:00"/>
    <d v="2024-03-07T00:00:00"/>
    <n v="1"/>
    <n v="43000"/>
    <n v="51600"/>
    <x v="0"/>
    <n v="-8600"/>
    <s v="Over Budget"/>
    <n v="36"/>
  </r>
  <r>
    <s v="Compliance Overhaul"/>
    <s v="User Training"/>
    <x v="23"/>
    <s v="Low"/>
    <d v="2024-08-20T00:00:00"/>
    <d v="2024-09-17T00:00:00"/>
    <d v="2024-09-17T00:00:00"/>
    <n v="1"/>
    <n v="32000"/>
    <n v="41100"/>
    <x v="0"/>
    <n v="-9100"/>
    <s v="Over Budget"/>
    <n v="0"/>
  </r>
  <r>
    <s v="Payment Integration"/>
    <s v="Wireframing"/>
    <x v="10"/>
    <s v="Medium"/>
    <d v="2025-02-07T00:00:00"/>
    <d v="2025-03-14T00:00:00"/>
    <m/>
    <n v="0.18"/>
    <n v="68000"/>
    <n v="13200"/>
    <x v="4"/>
    <n v="54800"/>
    <s v="Within Budget"/>
    <n v="556"/>
  </r>
  <r>
    <s v="Social Media Revamp"/>
    <s v="Competitive Analysis"/>
    <x v="14"/>
    <s v="Low"/>
    <d v="2024-12-26T00:00:00"/>
    <d v="2025-01-26T00:00:00"/>
    <m/>
    <n v="0.8"/>
    <n v="83000"/>
    <n v="46400"/>
    <x v="1"/>
    <n v="36600"/>
    <s v="Within Budget"/>
    <n v="603"/>
  </r>
  <r>
    <s v="Brand Refresh"/>
    <s v="System Configuration"/>
    <x v="21"/>
    <s v="Low"/>
    <d v="2024-04-08T00:00:00"/>
    <d v="2024-04-29T00:00:00"/>
    <m/>
    <n v="0.41"/>
    <n v="34000"/>
    <n v="34900"/>
    <x v="1"/>
    <n v="-900"/>
    <s v="Over Budget"/>
    <n v="875"/>
  </r>
  <r>
    <s v="Product Launch Q2"/>
    <s v="Technical Architecture"/>
    <x v="24"/>
    <s v="Low"/>
    <d v="2024-09-11T00:00:00"/>
    <d v="2024-09-21T00:00:00"/>
    <d v="2024-10-08T00:00:00"/>
    <n v="1"/>
    <n v="11000"/>
    <n v="11000"/>
    <x v="0"/>
    <n v="0"/>
    <s v="Within Budget"/>
    <n v="17"/>
  </r>
  <r>
    <s v="Analytics Dashboard"/>
    <s v="A/B Testing Setup"/>
    <x v="8"/>
    <s v="Medium"/>
    <d v="2024-09-29T00:00:00"/>
    <d v="2024-10-18T00:00:00"/>
    <d v="2024-11-02T00:00:00"/>
    <n v="1"/>
    <n v="32000"/>
    <n v="37000"/>
    <x v="0"/>
    <n v="-5000"/>
    <s v="Over Budget"/>
    <n v="15"/>
  </r>
  <r>
    <s v="Marketing Automation"/>
    <s v="Sprint Planning"/>
    <x v="2"/>
    <s v="High"/>
    <d v="2024-07-04T00:00:00"/>
    <d v="2024-07-19T00:00:00"/>
    <m/>
    <n v="0.57999999999999996"/>
    <n v="29000"/>
    <n v="21000"/>
    <x v="1"/>
    <n v="8000"/>
    <s v="Within Budget"/>
    <n v="794"/>
  </r>
  <r>
    <s v="Compliance Overhaul"/>
    <s v="User Training"/>
    <x v="12"/>
    <s v="Low"/>
    <d v="2024-07-07T00:00:00"/>
    <d v="2024-07-21T00:00:00"/>
    <d v="2024-07-25T00:00:00"/>
    <n v="1"/>
    <n v="30000"/>
    <n v="25900"/>
    <x v="0"/>
    <n v="4100"/>
    <s v="Within Budget"/>
    <n v="4"/>
  </r>
  <r>
    <s v="Chatbot Development"/>
    <s v="Budget Review"/>
    <x v="13"/>
    <s v="High"/>
    <d v="2024-07-04T00:00:00"/>
    <d v="2024-07-23T00:00:00"/>
    <d v="2024-07-17T00:00:00"/>
    <n v="1"/>
    <n v="25000"/>
    <n v="21600"/>
    <x v="0"/>
    <n v="3400"/>
    <s v="Within Budget"/>
    <n v="-6"/>
  </r>
  <r>
    <s v="Onboarding Automation"/>
    <s v="Post-Launch Review"/>
    <x v="18"/>
    <s v="Low"/>
    <d v="2024-07-25T00:00:00"/>
    <d v="2024-08-23T00:00:00"/>
    <m/>
    <n v="0.61"/>
    <n v="19000"/>
    <n v="23900"/>
    <x v="1"/>
    <n v="-4900"/>
    <s v="Over Budget"/>
    <n v="759"/>
  </r>
  <r>
    <s v="Office Relocation"/>
    <s v="API Development"/>
    <x v="19"/>
    <s v="Medium"/>
    <d v="2025-01-22T00:00:00"/>
    <d v="2025-01-30T00:00:00"/>
    <d v="2025-02-26T00:00:00"/>
    <n v="1"/>
    <n v="4000"/>
    <n v="4400"/>
    <x v="0"/>
    <n v="-400"/>
    <s v="Over Budget"/>
    <n v="27"/>
  </r>
  <r>
    <s v="Website Redesign"/>
    <s v="Backup Configuration"/>
    <x v="5"/>
    <s v="Low"/>
    <d v="2024-05-14T00:00:00"/>
    <d v="2024-06-14T00:00:00"/>
    <d v="2024-06-24T00:00:00"/>
    <n v="1"/>
    <n v="51000"/>
    <n v="43900"/>
    <x v="0"/>
    <n v="7100"/>
    <s v="Within Budget"/>
    <n v="10"/>
  </r>
  <r>
    <s v="Training Platform"/>
    <s v="Performance Testing"/>
    <x v="12"/>
    <s v="Low"/>
    <d v="2025-05-30T00:00:00"/>
    <d v="2025-06-15T00:00:00"/>
    <m/>
    <n v="0.39"/>
    <n v="23000"/>
    <n v="9300"/>
    <x v="4"/>
    <n v="13700"/>
    <s v="Within Budget"/>
    <n v="463"/>
  </r>
  <r>
    <s v="Chatbot Development"/>
    <s v="Market Research"/>
    <x v="9"/>
    <s v="Medium"/>
    <d v="2025-05-08T00:00:00"/>
    <d v="2025-05-20T00:00:00"/>
    <m/>
    <n v="0"/>
    <n v="33000"/>
    <n v="0"/>
    <x v="3"/>
    <n v="33000"/>
    <s v="Within Budget"/>
    <n v="489"/>
  </r>
  <r>
    <s v="Supply Chain Optimization"/>
    <s v="User Training"/>
    <x v="18"/>
    <s v="Medium"/>
    <d v="2024-05-08T00:00:00"/>
    <d v="2024-05-19T00:00:00"/>
    <d v="2024-05-09T00:00:00"/>
    <n v="0.25"/>
    <n v="18000"/>
    <n v="2200"/>
    <x v="2"/>
    <n v="15800"/>
    <s v="Within Budget"/>
    <n v="-10"/>
  </r>
  <r>
    <s v="Onboarding Automation"/>
    <s v="Security Review"/>
    <x v="0"/>
    <s v="Medium"/>
    <d v="2024-06-12T00:00:00"/>
    <d v="2024-06-30T00:00:00"/>
    <d v="2024-07-10T00:00:00"/>
    <n v="1"/>
    <n v="46000"/>
    <n v="59800"/>
    <x v="0"/>
    <n v="-13800"/>
    <s v="Over Budget"/>
    <n v="10"/>
  </r>
  <r>
    <s v="API Gateway"/>
    <s v="Market Research"/>
    <x v="16"/>
    <s v="Medium"/>
    <d v="2024-11-19T00:00:00"/>
    <d v="2024-11-29T00:00:00"/>
    <d v="2024-12-17T00:00:00"/>
    <n v="1"/>
    <n v="12000"/>
    <n v="10400"/>
    <x v="0"/>
    <n v="1600"/>
    <s v="Within Budget"/>
    <n v="18"/>
  </r>
  <r>
    <s v="Email Platform Migration"/>
    <s v="Asset Design"/>
    <x v="3"/>
    <s v="Medium"/>
    <d v="2024-04-03T00:00:00"/>
    <d v="2024-04-29T00:00:00"/>
    <d v="2024-05-25T00:00:00"/>
    <n v="1"/>
    <n v="37000"/>
    <n v="33600"/>
    <x v="0"/>
    <n v="3400"/>
    <s v="Within Budget"/>
    <n v="26"/>
  </r>
  <r>
    <s v="Onboarding Automation"/>
    <s v="Training Materials"/>
    <x v="16"/>
    <s v="Medium"/>
    <d v="2024-10-13T00:00:00"/>
    <d v="2024-11-15T00:00:00"/>
    <m/>
    <n v="0.56999999999999995"/>
    <n v="40000"/>
    <n v="31500"/>
    <x v="1"/>
    <n v="8500"/>
    <s v="Within Budget"/>
    <n v="675"/>
  </r>
  <r>
    <s v="Product Launch Q2"/>
    <s v="Quality Assurance"/>
    <x v="14"/>
    <s v="Critical"/>
    <d v="2025-04-01T00:00:00"/>
    <d v="2025-04-16T00:00:00"/>
    <m/>
    <n v="0"/>
    <n v="14000"/>
    <n v="0"/>
    <x v="3"/>
    <n v="14000"/>
    <s v="Within Budget"/>
    <n v="523"/>
  </r>
  <r>
    <s v="Analytics Dashboard"/>
    <s v="Quality Assurance"/>
    <x v="21"/>
    <s v="Low"/>
    <d v="2025-06-22T00:00:00"/>
    <d v="2025-07-17T00:00:00"/>
    <m/>
    <n v="0.27"/>
    <n v="15000"/>
    <n v="3300"/>
    <x v="4"/>
    <n v="11700"/>
    <s v="Within Budget"/>
    <n v="431"/>
  </r>
  <r>
    <s v="Product Launch Q1"/>
    <s v="Analytics Integration"/>
    <x v="19"/>
    <s v="High"/>
    <d v="2025-02-11T00:00:00"/>
    <d v="2025-03-16T00:00:00"/>
    <m/>
    <n v="0.36"/>
    <n v="61000"/>
    <n v="22300"/>
    <x v="4"/>
    <n v="38700"/>
    <s v="Within Budget"/>
    <n v="554"/>
  </r>
  <r>
    <s v="Payment Integration"/>
    <s v="Deployment Planning"/>
    <x v="18"/>
    <s v="Medium"/>
    <d v="2025-02-12T00:00:00"/>
    <d v="2025-02-22T00:00:00"/>
    <d v="2025-02-14T00:00:00"/>
    <n v="1"/>
    <n v="4000"/>
    <n v="3800"/>
    <x v="0"/>
    <n v="200"/>
    <s v="Within Budget"/>
    <n v="-8"/>
  </r>
  <r>
    <s v="Product Launch Q1"/>
    <s v="Feedback Collection"/>
    <x v="5"/>
    <s v="Low"/>
    <d v="2024-09-05T00:00:00"/>
    <d v="2024-10-02T00:00:00"/>
    <d v="2024-10-16T00:00:00"/>
    <n v="1"/>
    <n v="46000"/>
    <n v="46200"/>
    <x v="0"/>
    <n v="-200"/>
    <s v="Over Budget"/>
    <n v="14"/>
  </r>
  <r>
    <s v="Social Media Revamp"/>
    <s v="Vendor Evaluation"/>
    <x v="16"/>
    <s v="Low"/>
    <d v="2024-01-25T00:00:00"/>
    <d v="2024-02-02T00:00:00"/>
    <m/>
    <n v="0.67"/>
    <n v="10000"/>
    <n v="9500"/>
    <x v="1"/>
    <n v="500"/>
    <s v="Within Budget"/>
    <n v="962"/>
  </r>
  <r>
    <s v="Social Media Revamp"/>
    <s v="Requirements Gathering"/>
    <x v="8"/>
    <s v="Medium"/>
    <d v="2024-11-22T00:00:00"/>
    <d v="2024-12-02T00:00:00"/>
    <d v="2024-11-24T00:00:00"/>
    <n v="1"/>
    <n v="9000"/>
    <n v="11300"/>
    <x v="0"/>
    <n v="-2300"/>
    <s v="Over Budget"/>
    <n v="-8"/>
  </r>
  <r>
    <s v="Social Media Revamp"/>
    <s v="Infrastructure Setup"/>
    <x v="24"/>
    <s v="High"/>
    <d v="2024-02-01T00:00:00"/>
    <d v="2024-02-13T00:00:00"/>
    <d v="2024-03-13T00:00:00"/>
    <n v="1"/>
    <n v="37000"/>
    <n v="49600"/>
    <x v="0"/>
    <n v="-12600"/>
    <s v="Over Budget"/>
    <n v="29"/>
  </r>
  <r>
    <s v="Product Launch Q2"/>
    <s v="Go-Live Preparation"/>
    <x v="12"/>
    <s v="Low"/>
    <d v="2024-03-22T00:00:00"/>
    <d v="2024-04-11T00:00:00"/>
    <d v="2024-04-22T00:00:00"/>
    <n v="1"/>
    <n v="16000"/>
    <n v="20500"/>
    <x v="0"/>
    <n v="-4500"/>
    <s v="Over Budget"/>
    <n v="11"/>
  </r>
  <r>
    <s v="Payment Integration"/>
    <s v="UI/UX Design"/>
    <x v="21"/>
    <s v="Medium"/>
    <d v="2025-05-13T00:00:00"/>
    <d v="2025-05-29T00:00:00"/>
    <m/>
    <n v="0"/>
    <n v="36000"/>
    <n v="0"/>
    <x v="3"/>
    <n v="36000"/>
    <s v="Within Budget"/>
    <n v="480"/>
  </r>
  <r>
    <s v="Inventory System"/>
    <s v="Risk Assessment"/>
    <x v="1"/>
    <s v="Medium"/>
    <d v="2025-05-03T00:00:00"/>
    <d v="2025-05-28T00:00:00"/>
    <m/>
    <n v="0"/>
    <n v="47000"/>
    <n v="0"/>
    <x v="3"/>
    <n v="47000"/>
    <s v="Within Budget"/>
    <n v="481"/>
  </r>
  <r>
    <s v="Performance Review System"/>
    <s v="UI/UX Design"/>
    <x v="24"/>
    <s v="High"/>
    <d v="2024-11-11T00:00:00"/>
    <d v="2024-12-04T00:00:00"/>
    <m/>
    <n v="0.42"/>
    <n v="20000"/>
    <n v="15100"/>
    <x v="1"/>
    <n v="4900"/>
    <s v="Within Budget"/>
    <n v="656"/>
  </r>
  <r>
    <s v="Performance Review System"/>
    <s v="User Acceptance Testing"/>
    <x v="14"/>
    <s v="High"/>
    <d v="2024-10-24T00:00:00"/>
    <d v="2024-11-22T00:00:00"/>
    <d v="2024-11-22T00:00:00"/>
    <n v="1"/>
    <n v="38000"/>
    <n v="32600"/>
    <x v="0"/>
    <n v="5400"/>
    <s v="Within Budget"/>
    <n v="0"/>
  </r>
  <r>
    <s v="Product Launch Q1"/>
    <s v="Post-Launch Review"/>
    <x v="11"/>
    <s v="High"/>
    <d v="2025-03-31T00:00:00"/>
    <d v="2025-04-14T00:00:00"/>
    <m/>
    <n v="0"/>
    <n v="37000"/>
    <n v="0"/>
    <x v="3"/>
    <n v="37000"/>
    <s v="Within Budget"/>
    <n v="525"/>
  </r>
  <r>
    <s v="Compliance Overhaul"/>
    <s v="Accessibility Audit"/>
    <x v="5"/>
    <s v="Critical"/>
    <d v="2024-05-31T00:00:00"/>
    <d v="2024-06-09T00:00:00"/>
    <d v="2024-06-04T00:00:00"/>
    <n v="0.3"/>
    <n v="4000"/>
    <n v="1000"/>
    <x v="2"/>
    <n v="3000"/>
    <s v="Within Budget"/>
    <n v="-5"/>
  </r>
  <r>
    <s v="Social Media Revamp"/>
    <s v="Communication Plan"/>
    <x v="10"/>
    <s v="High"/>
    <d v="2024-07-30T00:00:00"/>
    <d v="2024-08-16T00:00:00"/>
    <d v="2024-08-11T00:00:00"/>
    <n v="1"/>
    <n v="41000"/>
    <n v="43000"/>
    <x v="0"/>
    <n v="-2000"/>
    <s v="Over Budget"/>
    <n v="-5"/>
  </r>
  <r>
    <s v="Email Platform Migration"/>
    <s v="Security Review"/>
    <x v="22"/>
    <s v="High"/>
    <d v="2024-11-02T00:00:00"/>
    <d v="2024-11-18T00:00:00"/>
    <d v="2024-11-10T00:00:00"/>
    <n v="0.3"/>
    <n v="42000"/>
    <n v="4600"/>
    <x v="2"/>
    <n v="37400"/>
    <s v="Within Budget"/>
    <n v="-8"/>
  </r>
  <r>
    <s v="Security Audit"/>
    <s v="Go-Live Preparation"/>
    <x v="8"/>
    <s v="Low"/>
    <d v="2024-11-03T00:00:00"/>
    <d v="2024-11-30T00:00:00"/>
    <d v="2025-01-12T00:00:00"/>
    <n v="1"/>
    <n v="37000"/>
    <n v="34400"/>
    <x v="0"/>
    <n v="2600"/>
    <s v="Within Budget"/>
    <n v="43"/>
  </r>
  <r>
    <s v="HR System Upgrade"/>
    <s v="Compliance Check"/>
    <x v="24"/>
    <s v="High"/>
    <d v="2024-09-28T00:00:00"/>
    <d v="2024-10-23T00:00:00"/>
    <m/>
    <n v="0.81"/>
    <n v="46000"/>
    <n v="58800"/>
    <x v="1"/>
    <n v="-12800"/>
    <s v="Over Budget"/>
    <n v="698"/>
  </r>
  <r>
    <s v="Security Audit"/>
    <s v="Risk Assessment"/>
    <x v="17"/>
    <s v="Critical"/>
    <d v="2025-06-23T00:00:00"/>
    <d v="2025-07-01T00:00:00"/>
    <m/>
    <n v="0.48"/>
    <n v="4000"/>
    <n v="1800"/>
    <x v="4"/>
    <n v="2200"/>
    <s v="Within Budget"/>
    <n v="447"/>
  </r>
  <r>
    <s v="Supply Chain Optimization"/>
    <s v="Backend Development"/>
    <x v="15"/>
    <s v="Medium"/>
    <d v="2025-06-10T00:00:00"/>
    <d v="2025-08-09T00:00:00"/>
    <m/>
    <n v="0"/>
    <n v="83000"/>
    <n v="0"/>
    <x v="3"/>
    <n v="83000"/>
    <s v="Within Budget"/>
    <n v="408"/>
  </r>
  <r>
    <s v="Social Media Revamp"/>
    <s v="Performance Testing"/>
    <x v="13"/>
    <s v="High"/>
    <d v="2024-12-28T00:00:00"/>
    <d v="2025-01-24T00:00:00"/>
    <d v="2025-03-10T00:00:00"/>
    <n v="1"/>
    <n v="21000"/>
    <n v="22500"/>
    <x v="0"/>
    <n v="-1500"/>
    <s v="Over Budget"/>
    <n v="45"/>
  </r>
  <r>
    <s v="Cloud Infrastructure"/>
    <s v="User Training"/>
    <x v="9"/>
    <s v="Medium"/>
    <d v="2024-10-06T00:00:00"/>
    <d v="2024-10-29T00:00:00"/>
    <d v="2024-11-09T00:00:00"/>
    <n v="1"/>
    <n v="49000"/>
    <n v="66100"/>
    <x v="0"/>
    <n v="-17100"/>
    <s v="Over Budget"/>
    <n v="11"/>
  </r>
  <r>
    <s v="Payment Integration"/>
    <s v="Accessibility Audit"/>
    <x v="4"/>
    <s v="Medium"/>
    <d v="2025-06-17T00:00:00"/>
    <d v="2025-07-08T00:00:00"/>
    <m/>
    <n v="0"/>
    <n v="13000"/>
    <n v="0"/>
    <x v="3"/>
    <n v="13000"/>
    <s v="Within Budget"/>
    <n v="440"/>
  </r>
  <r>
    <s v="Onboarding Automation"/>
    <s v="Prototype Development"/>
    <x v="14"/>
    <s v="Low"/>
    <d v="2025-03-12T00:00:00"/>
    <d v="2025-04-12T00:00:00"/>
    <m/>
    <n v="0.74"/>
    <n v="45000"/>
    <n v="29200"/>
    <x v="4"/>
    <n v="15800"/>
    <s v="Within Budget"/>
    <n v="527"/>
  </r>
  <r>
    <s v="Marketing Automation"/>
    <s v="Deployment Planning"/>
    <x v="7"/>
    <s v="Medium"/>
    <d v="2025-03-22T00:00:00"/>
    <d v="2025-04-18T00:00:00"/>
    <m/>
    <n v="0"/>
    <n v="39000"/>
    <n v="0"/>
    <x v="3"/>
    <n v="39000"/>
    <s v="Within Budget"/>
    <n v="521"/>
  </r>
  <r>
    <s v="HR System Upgrade"/>
    <s v="System Configuration"/>
    <x v="4"/>
    <s v="Critical"/>
    <d v="2024-12-28T00:00:00"/>
    <d v="2025-01-29T00:00:00"/>
    <d v="2025-02-14T00:00:00"/>
    <n v="1"/>
    <n v="37000"/>
    <n v="42500"/>
    <x v="0"/>
    <n v="-5500"/>
    <s v="Over Budget"/>
    <n v="16"/>
  </r>
  <r>
    <s v="Cloud Infrastructure"/>
    <s v="Monitoring Setup"/>
    <x v="18"/>
    <s v="Medium"/>
    <d v="2024-08-15T00:00:00"/>
    <d v="2024-09-04T00:00:00"/>
    <m/>
    <n v="0.41"/>
    <n v="20000"/>
    <n v="19700"/>
    <x v="1"/>
    <n v="300"/>
    <s v="Within Budget"/>
    <n v="747"/>
  </r>
  <r>
    <s v="Office Relocation"/>
    <s v="Change Management"/>
    <x v="2"/>
    <s v="High"/>
    <d v="2024-05-22T00:00:00"/>
    <d v="2024-06-08T00:00:00"/>
    <d v="2024-06-08T00:00:00"/>
    <n v="1"/>
    <n v="31000"/>
    <n v="37800"/>
    <x v="0"/>
    <n v="-6800"/>
    <s v="Over Budget"/>
    <n v="0"/>
  </r>
  <r>
    <s v="Budget Planning Tool"/>
    <s v="A/B Testing Setup"/>
    <x v="5"/>
    <s v="Critical"/>
    <d v="2024-02-24T00:00:00"/>
    <d v="2024-03-17T00:00:00"/>
    <d v="2024-03-17T00:00:00"/>
    <n v="1"/>
    <n v="46000"/>
    <n v="44300"/>
    <x v="0"/>
    <n v="1700"/>
    <s v="Within Budget"/>
    <n v="0"/>
  </r>
  <r>
    <s v="Email Platform Migration"/>
    <s v="Requirements Gathering"/>
    <x v="0"/>
    <s v="High"/>
    <d v="2024-12-20T00:00:00"/>
    <d v="2024-12-27T00:00:00"/>
    <m/>
    <n v="0.35"/>
    <n v="5000"/>
    <n v="5700"/>
    <x v="1"/>
    <n v="-700"/>
    <s v="Over Budget"/>
    <n v="633"/>
  </r>
  <r>
    <s v="Brand Refresh"/>
    <s v="Post-Launch Review"/>
    <x v="22"/>
    <s v="Medium"/>
    <d v="2024-09-03T00:00:00"/>
    <d v="2024-09-13T00:00:00"/>
    <m/>
    <n v="0.85"/>
    <n v="15000"/>
    <n v="8500"/>
    <x v="1"/>
    <n v="6500"/>
    <s v="Within Budget"/>
    <n v="738"/>
  </r>
  <r>
    <s v="Annual Report"/>
    <s v="Sprint Planning"/>
    <x v="3"/>
    <s v="Low"/>
    <d v="2024-09-04T00:00:00"/>
    <d v="2024-09-12T00:00:00"/>
    <m/>
    <n v="0.31"/>
    <n v="6000"/>
    <n v="3500"/>
    <x v="1"/>
    <n v="2500"/>
    <s v="Within Budget"/>
    <n v="739"/>
  </r>
  <r>
    <s v="Analytics Dashboard"/>
    <s v="Change Management"/>
    <x v="21"/>
    <s v="Low"/>
    <d v="2025-04-28T00:00:00"/>
    <d v="2025-05-14T00:00:00"/>
    <m/>
    <n v="0.4"/>
    <n v="29000"/>
    <n v="10200"/>
    <x v="4"/>
    <n v="18800"/>
    <s v="Within Budget"/>
    <n v="495"/>
  </r>
  <r>
    <s v="Inventory System"/>
    <s v="System Configuration"/>
    <x v="19"/>
    <s v="Medium"/>
    <d v="2024-11-18T00:00:00"/>
    <d v="2024-12-23T00:00:00"/>
    <m/>
    <n v="0.51"/>
    <n v="67000"/>
    <n v="74100"/>
    <x v="1"/>
    <n v="-7100"/>
    <s v="Over Budget"/>
    <n v="637"/>
  </r>
  <r>
    <s v="Annual Report"/>
    <s v="Infrastructure Setup"/>
    <x v="3"/>
    <s v="Medium"/>
    <d v="2025-03-24T00:00:00"/>
    <d v="2025-04-13T00:00:00"/>
    <m/>
    <n v="0.56000000000000005"/>
    <n v="42000"/>
    <n v="22500"/>
    <x v="4"/>
    <n v="19500"/>
    <s v="Within Budget"/>
    <n v="526"/>
  </r>
  <r>
    <s v="Marketing Automation"/>
    <s v="Status Reporting"/>
    <x v="14"/>
    <s v="Critical"/>
    <d v="2025-02-19T00:00:00"/>
    <d v="2025-03-16T00:00:00"/>
    <m/>
    <n v="0.4"/>
    <n v="38000"/>
    <n v="15600"/>
    <x v="4"/>
    <n v="22400"/>
    <s v="Within Budget"/>
    <n v="554"/>
  </r>
  <r>
    <s v="DevOps Pipeline"/>
    <s v="Wireframing"/>
    <x v="18"/>
    <s v="Low"/>
    <d v="2024-04-01T00:00:00"/>
    <d v="2024-05-04T00:00:00"/>
    <d v="2024-05-04T00:00:00"/>
    <n v="1"/>
    <n v="64000"/>
    <n v="72100"/>
    <x v="0"/>
    <n v="-8100"/>
    <s v="Over Budget"/>
    <n v="0"/>
  </r>
  <r>
    <s v="Inventory System"/>
    <s v="Budget Review"/>
    <x v="18"/>
    <s v="High"/>
    <d v="2024-06-12T00:00:00"/>
    <d v="2024-06-27T00:00:00"/>
    <d v="2024-07-06T00:00:00"/>
    <n v="1"/>
    <n v="25000"/>
    <n v="32200"/>
    <x v="0"/>
    <n v="-7200"/>
    <s v="Over Budget"/>
    <n v="9"/>
  </r>
  <r>
    <s v="Inventory System"/>
    <s v="Technical Architecture"/>
    <x v="8"/>
    <s v="Low"/>
    <d v="2025-02-26T00:00:00"/>
    <d v="2025-03-23T00:00:00"/>
    <m/>
    <n v="0.87"/>
    <n v="33000"/>
    <n v="32500"/>
    <x v="4"/>
    <n v="500"/>
    <s v="Within Budget"/>
    <n v="547"/>
  </r>
  <r>
    <s v="Website Redesign"/>
    <s v="Risk Assessment"/>
    <x v="5"/>
    <s v="Medium"/>
    <d v="2024-06-21T00:00:00"/>
    <d v="2024-07-10T00:00:00"/>
    <d v="2024-07-15T00:00:00"/>
    <n v="1"/>
    <n v="36000"/>
    <n v="32300"/>
    <x v="0"/>
    <n v="3700"/>
    <s v="Within Budget"/>
    <n v="5"/>
  </r>
  <r>
    <s v="DevOps Pipeline"/>
    <s v="Unit Testing"/>
    <x v="0"/>
    <s v="Medium"/>
    <d v="2024-09-24T00:00:00"/>
    <d v="2024-10-11T00:00:00"/>
    <d v="2024-10-05T00:00:00"/>
    <n v="1"/>
    <n v="34000"/>
    <n v="42500"/>
    <x v="0"/>
    <n v="-8500"/>
    <s v="Over Budget"/>
    <n v="-6"/>
  </r>
  <r>
    <s v="Email Platform Migration"/>
    <s v="Sprint Planning"/>
    <x v="14"/>
    <s v="High"/>
    <d v="2024-09-22T00:00:00"/>
    <d v="2024-09-28T00:00:00"/>
    <d v="2024-09-18T00:00:00"/>
    <n v="1"/>
    <n v="3000"/>
    <n v="3200"/>
    <x v="0"/>
    <n v="-200"/>
    <s v="Over Budget"/>
    <n v="-10"/>
  </r>
  <r>
    <s v="Security Audit"/>
    <s v="Asset Design"/>
    <x v="24"/>
    <s v="High"/>
    <d v="2024-02-24T00:00:00"/>
    <d v="2024-03-10T00:00:00"/>
    <d v="2024-04-19T00:00:00"/>
    <n v="1"/>
    <n v="15000"/>
    <n v="15000"/>
    <x v="0"/>
    <n v="0"/>
    <s v="Within Budget"/>
    <n v="40"/>
  </r>
  <r>
    <s v="Product Launch Q2"/>
    <s v="Risk Assessment"/>
    <x v="21"/>
    <s v="High"/>
    <d v="2024-03-21T00:00:00"/>
    <d v="2024-04-16T00:00:00"/>
    <d v="2024-05-16T00:00:00"/>
    <n v="1"/>
    <n v="24000"/>
    <n v="21200"/>
    <x v="0"/>
    <n v="2800"/>
    <s v="Within Budget"/>
    <n v="30"/>
  </r>
  <r>
    <s v="Chatbot Development"/>
    <s v="Status Reporting"/>
    <x v="7"/>
    <s v="Medium"/>
    <d v="2024-10-01T00:00:00"/>
    <d v="2024-10-12T00:00:00"/>
    <d v="2024-10-06T00:00:00"/>
    <n v="0.25"/>
    <n v="43000"/>
    <n v="7400"/>
    <x v="2"/>
    <n v="35600"/>
    <s v="Within Budget"/>
    <n v="-6"/>
  </r>
  <r>
    <s v="DevOps Pipeline"/>
    <s v="System Configuration"/>
    <x v="1"/>
    <s v="High"/>
    <d v="2024-02-02T00:00:00"/>
    <d v="2024-02-09T00:00:00"/>
    <m/>
    <n v="0.31"/>
    <n v="2000"/>
    <n v="2200"/>
    <x v="1"/>
    <n v="-200"/>
    <s v="Over Budget"/>
    <n v="955"/>
  </r>
  <r>
    <s v="Cloud Infrastructure"/>
    <s v="Content Creation"/>
    <x v="1"/>
    <s v="High"/>
    <d v="2024-02-20T00:00:00"/>
    <d v="2024-03-03T00:00:00"/>
    <d v="2024-03-08T00:00:00"/>
    <n v="1"/>
    <n v="41000"/>
    <n v="41800"/>
    <x v="0"/>
    <n v="-800"/>
    <s v="Over Budget"/>
    <n v="5"/>
  </r>
  <r>
    <s v="Product Launch Q1"/>
    <s v="Post-Launch Review"/>
    <x v="17"/>
    <s v="Medium"/>
    <d v="2024-06-26T00:00:00"/>
    <d v="2024-07-08T00:00:00"/>
    <d v="2024-07-04T00:00:00"/>
    <n v="1"/>
    <n v="13000"/>
    <n v="14200"/>
    <x v="0"/>
    <n v="-1200"/>
    <s v="Over Budget"/>
    <n v="-4"/>
  </r>
  <r>
    <s v="API Gateway"/>
    <s v="Backup Configuration"/>
    <x v="15"/>
    <s v="Medium"/>
    <d v="2024-04-30T00:00:00"/>
    <d v="2024-05-22T00:00:00"/>
    <m/>
    <n v="0.53"/>
    <n v="43000"/>
    <n v="29200"/>
    <x v="1"/>
    <n v="13800"/>
    <s v="Within Budget"/>
    <n v="852"/>
  </r>
  <r>
    <s v="Performance Review System"/>
    <s v="Risk Assessment"/>
    <x v="10"/>
    <s v="Low"/>
    <d v="2024-11-13T00:00:00"/>
    <d v="2024-11-26T00:00:00"/>
    <d v="2024-12-04T00:00:00"/>
    <n v="1"/>
    <n v="30000"/>
    <n v="36000"/>
    <x v="0"/>
    <n v="-6000"/>
    <s v="Over Budget"/>
    <n v="8"/>
  </r>
  <r>
    <s v="API Gateway"/>
    <s v="Backend Development"/>
    <x v="3"/>
    <s v="Critical"/>
    <d v="2024-03-01T00:00:00"/>
    <d v="2024-04-27T00:00:00"/>
    <d v="2024-05-02T00:00:00"/>
    <n v="1"/>
    <n v="51000"/>
    <n v="49600"/>
    <x v="0"/>
    <n v="1400"/>
    <s v="Within Budget"/>
    <n v="5"/>
  </r>
  <r>
    <s v="Payment Integration"/>
    <s v="Prototype Development"/>
    <x v="18"/>
    <s v="Low"/>
    <d v="2024-10-03T00:00:00"/>
    <d v="2024-11-03T00:00:00"/>
    <d v="2024-12-01T00:00:00"/>
    <n v="1"/>
    <n v="79000"/>
    <n v="68200"/>
    <x v="0"/>
    <n v="10800"/>
    <s v="Within Budget"/>
    <n v="28"/>
  </r>
  <r>
    <s v="Cloud Infrastructure"/>
    <s v="Monitoring Setup"/>
    <x v="2"/>
    <s v="Medium"/>
    <d v="2024-03-02T00:00:00"/>
    <d v="2024-03-10T00:00:00"/>
    <d v="2024-03-08T00:00:00"/>
    <n v="1"/>
    <n v="10000"/>
    <n v="8900"/>
    <x v="0"/>
    <n v="1100"/>
    <s v="Within Budget"/>
    <n v="-2"/>
  </r>
  <r>
    <s v="Vendor Portal"/>
    <s v="Backup Configuration"/>
    <x v="1"/>
    <s v="Medium"/>
    <d v="2025-04-11T00:00:00"/>
    <d v="2025-04-28T00:00:00"/>
    <m/>
    <n v="0"/>
    <n v="45000"/>
    <n v="0"/>
    <x v="3"/>
    <n v="45000"/>
    <s v="Within Budget"/>
    <n v="511"/>
  </r>
  <r>
    <s v="Product Launch Q1"/>
    <s v="Post-Launch Review"/>
    <x v="4"/>
    <s v="Medium"/>
    <d v="2024-01-18T00:00:00"/>
    <d v="2024-02-22T00:00:00"/>
    <d v="2024-01-28T00:00:00"/>
    <n v="0.3"/>
    <n v="90000"/>
    <n v="35200"/>
    <x v="2"/>
    <n v="54800"/>
    <s v="Within Budget"/>
    <n v="-25"/>
  </r>
  <r>
    <s v="CRM Migration"/>
    <s v="Integration Testing"/>
    <x v="10"/>
    <s v="High"/>
    <d v="2024-12-21T00:00:00"/>
    <d v="2025-01-23T00:00:00"/>
    <m/>
    <n v="0.85"/>
    <n v="66000"/>
    <n v="49400"/>
    <x v="1"/>
    <n v="16600"/>
    <s v="Within Budget"/>
    <n v="606"/>
  </r>
  <r>
    <s v="Supply Chain Optimization"/>
    <s v="Post-Launch Review"/>
    <x v="12"/>
    <s v="Medium"/>
    <d v="2024-09-29T00:00:00"/>
    <d v="2024-10-10T00:00:00"/>
    <m/>
    <n v="0.33"/>
    <n v="40000"/>
    <n v="27100"/>
    <x v="1"/>
    <n v="12900"/>
    <s v="Within Budget"/>
    <n v="711"/>
  </r>
  <r>
    <s v="Data Warehouse Build"/>
    <s v="API Development"/>
    <x v="2"/>
    <s v="Medium"/>
    <d v="2024-07-22T00:00:00"/>
    <d v="2024-08-22T00:00:00"/>
    <d v="2024-07-25T00:00:00"/>
    <n v="0.15"/>
    <n v="68000"/>
    <n v="18900"/>
    <x v="2"/>
    <n v="49100"/>
    <s v="Within Budget"/>
    <n v="-28"/>
  </r>
  <r>
    <s v="Office Relocation"/>
    <s v="User Acceptance Testing"/>
    <x v="1"/>
    <s v="Medium"/>
    <d v="2025-02-04T00:00:00"/>
    <d v="2025-02-14T00:00:00"/>
    <d v="2025-02-19T00:00:00"/>
    <n v="1"/>
    <n v="13000"/>
    <n v="16500"/>
    <x v="0"/>
    <n v="-3500"/>
    <s v="Over Budget"/>
    <n v="5"/>
  </r>
  <r>
    <s v="Vendor Portal"/>
    <s v="User Training"/>
    <x v="12"/>
    <s v="Medium"/>
    <d v="2025-02-17T00:00:00"/>
    <d v="2025-03-14T00:00:00"/>
    <m/>
    <n v="0.17"/>
    <n v="13000"/>
    <n v="2200"/>
    <x v="4"/>
    <n v="10800"/>
    <s v="Within Budget"/>
    <n v="556"/>
  </r>
  <r>
    <s v="HR System Upgrade"/>
    <s v="Performance Testing"/>
    <x v="13"/>
    <s v="Low"/>
    <d v="2025-06-14T00:00:00"/>
    <d v="2025-07-05T00:00:00"/>
    <m/>
    <n v="0.28000000000000003"/>
    <n v="47000"/>
    <n v="10800"/>
    <x v="4"/>
    <n v="36200"/>
    <s v="Within Budget"/>
    <n v="443"/>
  </r>
  <r>
    <s v="Website Redesign"/>
    <s v="Post-Launch Review"/>
    <x v="15"/>
    <s v="High"/>
    <d v="2025-05-02T00:00:00"/>
    <d v="2025-05-27T00:00:00"/>
    <m/>
    <n v="0"/>
    <n v="48000"/>
    <n v="0"/>
    <x v="3"/>
    <n v="48000"/>
    <s v="Within Budget"/>
    <n v="482"/>
  </r>
  <r>
    <s v="Compliance Overhaul"/>
    <s v="Optimization"/>
    <x v="22"/>
    <s v="Medium"/>
    <d v="2024-08-30T00:00:00"/>
    <d v="2024-09-26T00:00:00"/>
    <d v="2024-09-27T00:00:00"/>
    <n v="1"/>
    <n v="19000"/>
    <n v="21600"/>
    <x v="0"/>
    <n v="-2600"/>
    <s v="Over Budget"/>
    <n v="1"/>
  </r>
  <r>
    <s v="Inventory System"/>
    <s v="Requirements Gathering"/>
    <x v="5"/>
    <s v="High"/>
    <d v="2025-01-15T00:00:00"/>
    <d v="2025-01-25T00:00:00"/>
    <m/>
    <n v="0.13"/>
    <n v="15000"/>
    <n v="2200"/>
    <x v="5"/>
    <n v="12800"/>
    <s v="Within Budget"/>
    <n v="604"/>
  </r>
  <r>
    <s v="Vendor Portal"/>
    <s v="Data Migration"/>
    <x v="14"/>
    <s v="High"/>
    <d v="2024-01-22T00:00:00"/>
    <d v="2024-04-07T00:00:00"/>
    <d v="2024-02-11T00:00:00"/>
    <n v="0.3"/>
    <n v="67000"/>
    <n v="17800"/>
    <x v="2"/>
    <n v="49200"/>
    <s v="Within Budget"/>
    <n v="-56"/>
  </r>
  <r>
    <s v="Data Warehouse Build"/>
    <s v="Integration Testing"/>
    <x v="14"/>
    <s v="Critical"/>
    <d v="2024-08-30T00:00:00"/>
    <d v="2024-10-03T00:00:00"/>
    <d v="2024-10-08T00:00:00"/>
    <n v="1"/>
    <n v="72000"/>
    <n v="88400"/>
    <x v="0"/>
    <n v="-16400"/>
    <s v="Over Budget"/>
    <n v="5"/>
  </r>
  <r>
    <s v="Supply Chain Optimization"/>
    <s v="Vendor Evaluation"/>
    <x v="8"/>
    <s v="Low"/>
    <d v="2025-04-27T00:00:00"/>
    <d v="2025-06-01T00:00:00"/>
    <m/>
    <n v="0"/>
    <n v="46000"/>
    <n v="0"/>
    <x v="3"/>
    <n v="46000"/>
    <s v="Within Budget"/>
    <n v="477"/>
  </r>
  <r>
    <s v="Product Launch Q1"/>
    <s v="Sprint Planning"/>
    <x v="18"/>
    <s v="Medium"/>
    <d v="2025-03-01T00:00:00"/>
    <d v="2025-03-16T00:00:00"/>
    <m/>
    <n v="0.19"/>
    <n v="50000"/>
    <n v="9900"/>
    <x v="4"/>
    <n v="40100"/>
    <s v="Within Budget"/>
    <n v="554"/>
  </r>
  <r>
    <s v="CRM Migration"/>
    <s v="Compliance Check"/>
    <x v="23"/>
    <s v="High"/>
    <d v="2024-06-21T00:00:00"/>
    <d v="2024-07-02T00:00:00"/>
    <d v="2024-07-20T00:00:00"/>
    <n v="1"/>
    <n v="19000"/>
    <n v="21400"/>
    <x v="0"/>
    <n v="-2400"/>
    <s v="Over Budget"/>
    <n v="18"/>
  </r>
  <r>
    <s v="Training Platform"/>
    <s v="A/B Testing Setup"/>
    <x v="9"/>
    <s v="High"/>
    <d v="2024-06-19T00:00:00"/>
    <d v="2024-07-23T00:00:00"/>
    <d v="2024-08-22T00:00:00"/>
    <n v="1"/>
    <n v="70000"/>
    <n v="92800"/>
    <x v="0"/>
    <n v="-22800"/>
    <s v="Over Budget"/>
    <n v="30"/>
  </r>
  <r>
    <s v="Training Platform"/>
    <s v="Compliance Check"/>
    <x v="22"/>
    <s v="Critical"/>
    <d v="2024-04-01T00:00:00"/>
    <d v="2024-04-28T00:00:00"/>
    <m/>
    <n v="0.38"/>
    <n v="11000"/>
    <n v="12800"/>
    <x v="1"/>
    <n v="-1800"/>
    <s v="Over Budget"/>
    <n v="876"/>
  </r>
  <r>
    <s v="Customer Portal"/>
    <s v="Performance Testing"/>
    <x v="12"/>
    <s v="Medium"/>
    <d v="2024-05-19T00:00:00"/>
    <d v="2024-06-12T00:00:00"/>
    <d v="2024-05-26T00:00:00"/>
    <n v="0.25"/>
    <n v="20000"/>
    <n v="7000"/>
    <x v="2"/>
    <n v="13000"/>
    <s v="Within Budget"/>
    <n v="-17"/>
  </r>
  <r>
    <s v="Website Redesign"/>
    <s v="UI/UX Design"/>
    <x v="16"/>
    <s v="Medium"/>
    <d v="2024-08-24T00:00:00"/>
    <d v="2024-10-01T00:00:00"/>
    <d v="2024-09-05T00:00:00"/>
    <n v="0.15"/>
    <n v="58000"/>
    <n v="8000"/>
    <x v="2"/>
    <n v="50000"/>
    <s v="Within Budget"/>
    <n v="-26"/>
  </r>
  <r>
    <s v="Cloud Infrastructure"/>
    <s v="Sprint Planning"/>
    <x v="23"/>
    <s v="Critical"/>
    <d v="2025-06-14T00:00:00"/>
    <d v="2025-06-21T00:00:00"/>
    <m/>
    <n v="0"/>
    <n v="5000"/>
    <n v="0"/>
    <x v="3"/>
    <n v="5000"/>
    <s v="Within Budget"/>
    <n v="457"/>
  </r>
  <r>
    <s v="Vendor Portal"/>
    <s v="Database Design"/>
    <x v="12"/>
    <s v="High"/>
    <d v="2025-03-23T00:00:00"/>
    <d v="2025-05-07T00:00:00"/>
    <m/>
    <n v="0"/>
    <n v="92000"/>
    <n v="0"/>
    <x v="3"/>
    <n v="92000"/>
    <s v="Within Budget"/>
    <n v="502"/>
  </r>
  <r>
    <s v="Product Launch Q1"/>
    <s v="Data Migration"/>
    <x v="10"/>
    <s v="Low"/>
    <d v="2024-04-15T00:00:00"/>
    <d v="2024-06-10T00:00:00"/>
    <d v="2024-04-28T00:00:00"/>
    <n v="0.3"/>
    <n v="52000"/>
    <n v="4500"/>
    <x v="2"/>
    <n v="47500"/>
    <s v="Within Budget"/>
    <n v="-43"/>
  </r>
  <r>
    <s v="Chatbot Development"/>
    <s v="SEO Optimization"/>
    <x v="1"/>
    <s v="Medium"/>
    <d v="2024-11-28T00:00:00"/>
    <d v="2024-12-17T00:00:00"/>
    <d v="2024-12-17T00:00:00"/>
    <n v="1"/>
    <n v="19000"/>
    <n v="25000"/>
    <x v="0"/>
    <n v="-6000"/>
    <s v="Over Budget"/>
    <n v="0"/>
  </r>
  <r>
    <s v="Supply Chain Optimization"/>
    <s v="Status Reporting"/>
    <x v="15"/>
    <s v="Medium"/>
    <d v="2024-11-26T00:00:00"/>
    <d v="2024-12-07T00:00:00"/>
    <d v="2024-12-02T00:00:00"/>
    <n v="1"/>
    <n v="44000"/>
    <n v="49400"/>
    <x v="0"/>
    <n v="-5400"/>
    <s v="Over Budget"/>
    <n v="-5"/>
  </r>
  <r>
    <s v="Brand Refresh"/>
    <s v="Accessibility Audit"/>
    <x v="18"/>
    <s v="Low"/>
    <d v="2024-12-13T00:00:00"/>
    <d v="2024-12-30T00:00:00"/>
    <d v="2025-01-11T00:00:00"/>
    <n v="1"/>
    <n v="49000"/>
    <n v="42400"/>
    <x v="0"/>
    <n v="6600"/>
    <s v="Within Budget"/>
    <n v="12"/>
  </r>
  <r>
    <s v="Budget Planning Tool"/>
    <s v="Iteration Planning"/>
    <x v="21"/>
    <s v="Medium"/>
    <d v="2024-09-16T00:00:00"/>
    <d v="2024-09-29T00:00:00"/>
    <m/>
    <n v="0.84"/>
    <n v="31000"/>
    <n v="17900"/>
    <x v="1"/>
    <n v="13100"/>
    <s v="Within Budget"/>
    <n v="722"/>
  </r>
  <r>
    <s v="Security Audit"/>
    <s v="Sprint Planning"/>
    <x v="14"/>
    <s v="Low"/>
    <d v="2025-01-13T00:00:00"/>
    <d v="2025-01-19T00:00:00"/>
    <m/>
    <n v="0.36"/>
    <n v="5000"/>
    <n v="4400"/>
    <x v="1"/>
    <n v="600"/>
    <s v="Within Budget"/>
    <n v="610"/>
  </r>
  <r>
    <s v="Mobile App Launch"/>
    <s v="Backend Development"/>
    <x v="18"/>
    <s v="Low"/>
    <d v="2024-10-04T00:00:00"/>
    <d v="2024-12-31T00:00:00"/>
    <m/>
    <n v="0.38"/>
    <n v="168000"/>
    <n v="177000"/>
    <x v="1"/>
    <n v="-9000"/>
    <s v="Over Budget"/>
    <n v="629"/>
  </r>
  <r>
    <s v="Onboarding Automation"/>
    <s v="Performance Testing"/>
    <x v="3"/>
    <s v="Medium"/>
    <d v="2024-06-08T00:00:00"/>
    <d v="2024-06-26T00:00:00"/>
    <d v="2024-06-29T00:00:00"/>
    <n v="1"/>
    <n v="40000"/>
    <n v="46200"/>
    <x v="0"/>
    <n v="-6200"/>
    <s v="Over Budget"/>
    <n v="3"/>
  </r>
  <r>
    <s v="Office Relocation"/>
    <s v="Training Materials"/>
    <x v="19"/>
    <s v="Low"/>
    <d v="2025-05-04T00:00:00"/>
    <d v="2025-05-21T00:00:00"/>
    <m/>
    <n v="0.39"/>
    <n v="25000"/>
    <n v="9700"/>
    <x v="4"/>
    <n v="15300"/>
    <s v="Within Budget"/>
    <n v="488"/>
  </r>
  <r>
    <s v="Mobile App Launch"/>
    <s v="Content Creation"/>
    <x v="6"/>
    <s v="High"/>
    <d v="2024-07-02T00:00:00"/>
    <d v="2024-07-19T00:00:00"/>
    <d v="2024-08-13T00:00:00"/>
    <n v="1"/>
    <n v="18000"/>
    <n v="19700"/>
    <x v="0"/>
    <n v="-1700"/>
    <s v="Over Budget"/>
    <n v="25"/>
  </r>
  <r>
    <s v="Product Launch Q2"/>
    <s v="User Training"/>
    <x v="24"/>
    <s v="Medium"/>
    <d v="2024-05-11T00:00:00"/>
    <d v="2024-05-21T00:00:00"/>
    <d v="2024-06-09T00:00:00"/>
    <n v="1"/>
    <n v="8000"/>
    <n v="7400"/>
    <x v="0"/>
    <n v="600"/>
    <s v="Within Budget"/>
    <n v="19"/>
  </r>
  <r>
    <s v="Product Launch Q2"/>
    <s v="UI/UX Design"/>
    <x v="19"/>
    <s v="Medium"/>
    <d v="2024-05-09T00:00:00"/>
    <d v="2024-06-09T00:00:00"/>
    <d v="2024-06-20T00:00:00"/>
    <n v="1"/>
    <n v="73000"/>
    <n v="96700"/>
    <x v="0"/>
    <n v="-23700"/>
    <s v="Over Budget"/>
    <n v="11"/>
  </r>
  <r>
    <s v="CRM Migration"/>
    <s v="Stakeholder Interviews"/>
    <x v="0"/>
    <s v="Low"/>
    <d v="2025-04-15T00:00:00"/>
    <d v="2025-04-28T00:00:00"/>
    <m/>
    <n v="0"/>
    <n v="28000"/>
    <n v="0"/>
    <x v="3"/>
    <n v="28000"/>
    <s v="Within Budget"/>
    <n v="511"/>
  </r>
  <r>
    <s v="Training Platform"/>
    <s v="Competitive Analysis"/>
    <x v="20"/>
    <s v="Low"/>
    <d v="2024-04-09T00:00:00"/>
    <d v="2024-04-18T00:00:00"/>
    <d v="2024-04-16T00:00:00"/>
    <n v="1"/>
    <n v="13000"/>
    <n v="13100"/>
    <x v="0"/>
    <n v="-100"/>
    <s v="Over Budget"/>
    <n v="-2"/>
  </r>
  <r>
    <s v="Social Media Revamp"/>
    <s v="Requirements Gathering"/>
    <x v="21"/>
    <s v="Medium"/>
    <d v="2025-06-04T00:00:00"/>
    <d v="2025-06-09T00:00:00"/>
    <m/>
    <n v="0.49"/>
    <n v="7000"/>
    <n v="4000"/>
    <x v="4"/>
    <n v="3000"/>
    <s v="Within Budget"/>
    <n v="469"/>
  </r>
  <r>
    <s v="Customer Portal"/>
    <s v="Performance Testing"/>
    <x v="0"/>
    <s v="Critical"/>
    <d v="2025-01-02T00:00:00"/>
    <d v="2025-01-30T00:00:00"/>
    <m/>
    <n v="0.56999999999999995"/>
    <n v="10000"/>
    <n v="5500"/>
    <x v="1"/>
    <n v="4500"/>
    <s v="Within Budget"/>
    <n v="599"/>
  </r>
  <r>
    <s v="CRM Migration"/>
    <s v="Backup Configuration"/>
    <x v="23"/>
    <s v="Medium"/>
    <d v="2025-02-15T00:00:00"/>
    <d v="2025-03-11T00:00:00"/>
    <m/>
    <n v="0.82"/>
    <n v="24000"/>
    <n v="21500"/>
    <x v="4"/>
    <n v="2500"/>
    <s v="Within Budget"/>
    <n v="559"/>
  </r>
  <r>
    <s v="Performance Review System"/>
    <s v="Post-Launch Review"/>
    <x v="6"/>
    <s v="Low"/>
    <d v="2025-04-23T00:00:00"/>
    <d v="2025-05-02T00:00:00"/>
    <m/>
    <n v="0"/>
    <n v="3000"/>
    <n v="0"/>
    <x v="3"/>
    <n v="3000"/>
    <s v="Within Budget"/>
    <n v="507"/>
  </r>
  <r>
    <s v="Training Platform"/>
    <s v="Unit Testing"/>
    <x v="16"/>
    <s v="Low"/>
    <d v="2024-09-26T00:00:00"/>
    <d v="2024-10-16T00:00:00"/>
    <d v="2024-10-26T00:00:00"/>
    <n v="1"/>
    <n v="35000"/>
    <n v="42500"/>
    <x v="0"/>
    <n v="-7500"/>
    <s v="Over Budget"/>
    <n v="10"/>
  </r>
  <r>
    <s v="CRM Migration"/>
    <s v="Sprint Planning"/>
    <x v="21"/>
    <s v="High"/>
    <d v="2025-06-09T00:00:00"/>
    <d v="2025-06-19T00:00:00"/>
    <m/>
    <n v="0"/>
    <n v="14000"/>
    <n v="0"/>
    <x v="3"/>
    <n v="14000"/>
    <s v="Within Budget"/>
    <n v="459"/>
  </r>
  <r>
    <s v="Budget Planning Tool"/>
    <s v="Requirements Gathering"/>
    <x v="19"/>
    <s v="Low"/>
    <d v="2025-01-26T00:00:00"/>
    <d v="2025-02-10T00:00:00"/>
    <d v="2025-02-02T00:00:00"/>
    <n v="1"/>
    <n v="39000"/>
    <n v="35800"/>
    <x v="0"/>
    <n v="3200"/>
    <s v="Within Budget"/>
    <n v="-8"/>
  </r>
  <r>
    <s v="Vendor Portal"/>
    <s v="Competitive Analysis"/>
    <x v="18"/>
    <s v="Low"/>
    <d v="2025-04-12T00:00:00"/>
    <d v="2025-05-08T00:00:00"/>
    <m/>
    <n v="0"/>
    <n v="16000"/>
    <n v="0"/>
    <x v="3"/>
    <n v="16000"/>
    <s v="Within Budget"/>
    <n v="501"/>
  </r>
  <r>
    <s v="DevOps Pipeline"/>
    <s v="Quality Assurance"/>
    <x v="20"/>
    <s v="High"/>
    <d v="2025-03-28T00:00:00"/>
    <d v="2025-05-01T00:00:00"/>
    <m/>
    <n v="0.95"/>
    <n v="55000"/>
    <n v="51700"/>
    <x v="4"/>
    <n v="3300"/>
    <s v="Within Budget"/>
    <n v="508"/>
  </r>
  <r>
    <s v="ERP Implementation"/>
    <s v="API Development"/>
    <x v="8"/>
    <s v="Medium"/>
    <d v="2024-06-03T00:00:00"/>
    <d v="2024-06-23T00:00:00"/>
    <d v="2024-08-06T00:00:00"/>
    <n v="1"/>
    <n v="45000"/>
    <n v="43400"/>
    <x v="0"/>
    <n v="1600"/>
    <s v="Within Budget"/>
    <n v="44"/>
  </r>
  <r>
    <s v="ERP Implementation"/>
    <s v="Monitoring Setup"/>
    <x v="24"/>
    <s v="Medium"/>
    <d v="2024-08-01T00:00:00"/>
    <d v="2024-09-03T00:00:00"/>
    <d v="2024-09-03T00:00:00"/>
    <n v="1"/>
    <n v="80000"/>
    <n v="70400"/>
    <x v="0"/>
    <n v="9600"/>
    <s v="Within Budget"/>
    <n v="0"/>
  </r>
  <r>
    <s v="ERP Implementation"/>
    <s v="SEO Optimization"/>
    <x v="23"/>
    <s v="High"/>
    <d v="2024-06-02T00:00:00"/>
    <d v="2024-06-22T00:00:00"/>
    <d v="2024-06-27T00:00:00"/>
    <n v="1"/>
    <n v="16000"/>
    <n v="13700"/>
    <x v="0"/>
    <n v="2300"/>
    <s v="Within Budget"/>
    <n v="5"/>
  </r>
  <r>
    <s v="Training Platform"/>
    <s v="A/B Testing Setup"/>
    <x v="8"/>
    <s v="High"/>
    <d v="2024-03-26T00:00:00"/>
    <d v="2024-04-26T00:00:00"/>
    <d v="2024-05-31T00:00:00"/>
    <n v="1"/>
    <n v="90000"/>
    <n v="102100"/>
    <x v="0"/>
    <n v="-12100"/>
    <s v="Over Budget"/>
    <n v="35"/>
  </r>
  <r>
    <s v="Inventory System"/>
    <s v="API Development"/>
    <x v="9"/>
    <s v="High"/>
    <d v="2024-06-07T00:00:00"/>
    <d v="2024-06-14T00:00:00"/>
    <d v="2024-06-14T00:00:00"/>
    <n v="1"/>
    <n v="8000"/>
    <n v="10000"/>
    <x v="0"/>
    <n v="-2000"/>
    <s v="Over Budget"/>
    <n v="0"/>
  </r>
  <r>
    <s v="HR System Upgrade"/>
    <s v="Iteration Planning"/>
    <x v="23"/>
    <s v="Low"/>
    <d v="2024-11-06T00:00:00"/>
    <d v="2024-11-15T00:00:00"/>
    <d v="2024-12-01T00:00:00"/>
    <n v="1"/>
    <n v="2000"/>
    <n v="1900"/>
    <x v="0"/>
    <n v="100"/>
    <s v="Within Budget"/>
    <n v="16"/>
  </r>
  <r>
    <s v="Office Relocation"/>
    <s v="Compliance Check"/>
    <x v="17"/>
    <s v="Medium"/>
    <d v="2025-01-24T00:00:00"/>
    <d v="2025-02-19T00:00:00"/>
    <m/>
    <n v="0.56000000000000005"/>
    <n v="31000"/>
    <n v="5200"/>
    <x v="5"/>
    <n v="25800"/>
    <s v="Within Budget"/>
    <n v="579"/>
  </r>
  <r>
    <s v="Mobile App Launch"/>
    <s v="Infrastructure Setup"/>
    <x v="14"/>
    <s v="Medium"/>
    <d v="2025-03-14T00:00:00"/>
    <d v="2025-04-08T00:00:00"/>
    <m/>
    <n v="0.56999999999999995"/>
    <n v="37000"/>
    <n v="22600"/>
    <x v="4"/>
    <n v="14400"/>
    <s v="Within Budget"/>
    <n v="531"/>
  </r>
  <r>
    <s v="Website Redesign"/>
    <s v="Risk Assessment"/>
    <x v="7"/>
    <s v="Medium"/>
    <d v="2024-01-10T00:00:00"/>
    <d v="2024-02-14T00:00:00"/>
    <m/>
    <n v="0.71"/>
    <n v="60000"/>
    <n v="70000"/>
    <x v="1"/>
    <n v="-10000"/>
    <s v="Over Budget"/>
    <n v="950"/>
  </r>
  <r>
    <s v="Cloud Infrastructure"/>
    <s v="Change Management"/>
    <x v="18"/>
    <s v="Medium"/>
    <d v="2024-04-26T00:00:00"/>
    <d v="2024-05-21T00:00:00"/>
    <d v="2024-06-11T00:00:00"/>
    <n v="1"/>
    <n v="17000"/>
    <n v="14500"/>
    <x v="0"/>
    <n v="2500"/>
    <s v="Within Budget"/>
    <n v="21"/>
  </r>
  <r>
    <s v="Office Relocation"/>
    <s v="Market Research"/>
    <x v="8"/>
    <s v="High"/>
    <d v="2024-03-07T00:00:00"/>
    <d v="2024-03-12T00:00:00"/>
    <m/>
    <n v="0.65"/>
    <n v="5000"/>
    <n v="4500"/>
    <x v="1"/>
    <n v="500"/>
    <s v="Within Budget"/>
    <n v="923"/>
  </r>
  <r>
    <s v="Analytics Dashboard"/>
    <s v="Integration Testing"/>
    <x v="10"/>
    <s v="High"/>
    <d v="2024-06-08T00:00:00"/>
    <d v="2024-07-12T00:00:00"/>
    <d v="2024-07-30T00:00:00"/>
    <n v="1"/>
    <n v="74000"/>
    <n v="63200"/>
    <x v="0"/>
    <n v="10800"/>
    <s v="Within Budget"/>
    <n v="18"/>
  </r>
  <r>
    <s v="Email Platform Migration"/>
    <s v="Performance Testing"/>
    <x v="11"/>
    <s v="Medium"/>
    <d v="2024-09-30T00:00:00"/>
    <d v="2024-10-12T00:00:00"/>
    <d v="2024-10-22T00:00:00"/>
    <n v="1"/>
    <n v="10000"/>
    <n v="12200"/>
    <x v="0"/>
    <n v="-2200"/>
    <s v="Over Budget"/>
    <n v="10"/>
  </r>
  <r>
    <s v="Analytics Dashboard"/>
    <s v="Backend Development"/>
    <x v="15"/>
    <s v="Medium"/>
    <d v="2025-03-17T00:00:00"/>
    <d v="2025-04-18T00:00:00"/>
    <m/>
    <n v="0"/>
    <n v="75000"/>
    <n v="0"/>
    <x v="3"/>
    <n v="75000"/>
    <s v="Within Budget"/>
    <n v="521"/>
  </r>
  <r>
    <s v="Onboarding Automation"/>
    <s v="Market Research"/>
    <x v="8"/>
    <s v="Critical"/>
    <d v="2025-03-31T00:00:00"/>
    <d v="2025-04-12T00:00:00"/>
    <m/>
    <n v="0.18"/>
    <n v="12000"/>
    <n v="1800"/>
    <x v="4"/>
    <n v="10200"/>
    <s v="Within Budget"/>
    <n v="527"/>
  </r>
  <r>
    <s v="Supply Chain Optimization"/>
    <s v="Data Migration"/>
    <x v="1"/>
    <s v="Critical"/>
    <d v="2024-04-24T00:00:00"/>
    <d v="2024-07-17T00:00:00"/>
    <d v="2024-07-21T00:00:00"/>
    <n v="1"/>
    <n v="156000"/>
    <n v="164300"/>
    <x v="0"/>
    <n v="-8300"/>
    <s v="Over Budget"/>
    <n v="4"/>
  </r>
  <r>
    <s v="Annual Report"/>
    <s v="Risk Assessment"/>
    <x v="15"/>
    <s v="Low"/>
    <d v="2024-06-30T00:00:00"/>
    <d v="2024-08-01T00:00:00"/>
    <d v="2024-07-10T00:00:00"/>
    <n v="0"/>
    <n v="35000"/>
    <n v="4000"/>
    <x v="2"/>
    <n v="31000"/>
    <s v="Within Budget"/>
    <n v="-22"/>
  </r>
  <r>
    <s v="Analytics Dashboard"/>
    <s v="API Development"/>
    <x v="21"/>
    <s v="Medium"/>
    <d v="2024-05-23T00:00:00"/>
    <d v="2024-05-31T00:00:00"/>
    <d v="2024-05-27T00:00:00"/>
    <n v="1"/>
    <n v="12000"/>
    <n v="12400"/>
    <x v="0"/>
    <n v="-400"/>
    <s v="Over Budget"/>
    <n v="-4"/>
  </r>
  <r>
    <s v="Analytics Dashboard"/>
    <s v="Asset Design"/>
    <x v="17"/>
    <s v="High"/>
    <d v="2024-04-30T00:00:00"/>
    <d v="2024-05-13T00:00:00"/>
    <m/>
    <n v="0.21"/>
    <n v="48000"/>
    <n v="42200"/>
    <x v="1"/>
    <n v="5800"/>
    <s v="Within Budget"/>
    <n v="861"/>
  </r>
  <r>
    <s v="Training Platform"/>
    <s v="Asset Design"/>
    <x v="22"/>
    <s v="Medium"/>
    <d v="2024-05-18T00:00:00"/>
    <d v="2024-06-22T00:00:00"/>
    <m/>
    <n v="0.42"/>
    <n v="43000"/>
    <n v="54100"/>
    <x v="1"/>
    <n v="-11100"/>
    <s v="Over Budget"/>
    <n v="821"/>
  </r>
  <r>
    <s v="Analytics Dashboard"/>
    <s v="Competitive Analysis"/>
    <x v="18"/>
    <s v="Critical"/>
    <d v="2024-07-29T00:00:00"/>
    <d v="2024-08-31T00:00:00"/>
    <d v="2024-08-04T00:00:00"/>
    <n v="0"/>
    <n v="78000"/>
    <n v="31000"/>
    <x v="2"/>
    <n v="47000"/>
    <s v="Within Budget"/>
    <n v="-27"/>
  </r>
  <r>
    <s v="API Gateway"/>
    <s v="User Training"/>
    <x v="2"/>
    <s v="High"/>
    <d v="2024-12-05T00:00:00"/>
    <d v="2024-12-21T00:00:00"/>
    <d v="2024-12-07T00:00:00"/>
    <n v="0.25"/>
    <n v="41000"/>
    <n v="4600"/>
    <x v="2"/>
    <n v="36400"/>
    <s v="Within Budget"/>
    <n v="-14"/>
  </r>
  <r>
    <s v="Training Platform"/>
    <s v="Backend Development"/>
    <x v="20"/>
    <s v="Medium"/>
    <d v="2024-08-17T00:00:00"/>
    <d v="2024-10-24T00:00:00"/>
    <d v="2024-09-08T00:00:00"/>
    <n v="0.25"/>
    <n v="118000"/>
    <n v="33800"/>
    <x v="2"/>
    <n v="84200"/>
    <s v="Within Budget"/>
    <n v="-46"/>
  </r>
  <r>
    <s v="Chatbot Development"/>
    <s v="Backend Development"/>
    <x v="13"/>
    <s v="Critical"/>
    <d v="2024-10-25T00:00:00"/>
    <d v="2025-01-20T00:00:00"/>
    <m/>
    <n v="0.92"/>
    <n v="175000"/>
    <n v="165700"/>
    <x v="4"/>
    <n v="9300"/>
    <s v="Within Budget"/>
    <n v="609"/>
  </r>
  <r>
    <s v="Analytics Dashboard"/>
    <s v="A/B Testing Setup"/>
    <x v="6"/>
    <s v="High"/>
    <d v="2024-05-06T00:00:00"/>
    <d v="2024-05-25T00:00:00"/>
    <d v="2024-05-10T00:00:00"/>
    <n v="0"/>
    <n v="44000"/>
    <n v="2700"/>
    <x v="2"/>
    <n v="41300"/>
    <s v="Within Budget"/>
    <n v="-15"/>
  </r>
  <r>
    <s v="Analytics Dashboard"/>
    <s v="Post-Launch Review"/>
    <x v="3"/>
    <s v="High"/>
    <d v="2024-08-31T00:00:00"/>
    <d v="2024-09-23T00:00:00"/>
    <d v="2024-10-19T00:00:00"/>
    <n v="1"/>
    <n v="21000"/>
    <n v="26200"/>
    <x v="0"/>
    <n v="-5200"/>
    <s v="Over Budget"/>
    <n v="26"/>
  </r>
  <r>
    <s v="Budget Planning Tool"/>
    <s v="Database Design"/>
    <x v="7"/>
    <s v="Low"/>
    <d v="2024-10-27T00:00:00"/>
    <d v="2024-12-06T00:00:00"/>
    <d v="2024-11-02T00:00:00"/>
    <n v="0.25"/>
    <n v="57000"/>
    <n v="17800"/>
    <x v="2"/>
    <n v="39200"/>
    <s v="Within Budget"/>
    <n v="-34"/>
  </r>
  <r>
    <s v="DevOps Pipeline"/>
    <s v="Sprint Planning"/>
    <x v="14"/>
    <s v="Medium"/>
    <d v="2025-05-25T00:00:00"/>
    <d v="2025-06-04T00:00:00"/>
    <m/>
    <n v="0"/>
    <n v="4000"/>
    <n v="0"/>
    <x v="3"/>
    <n v="4000"/>
    <s v="Within Budget"/>
    <n v="474"/>
  </r>
  <r>
    <s v="Cloud Infrastructure"/>
    <s v="Training Materials"/>
    <x v="10"/>
    <s v="Low"/>
    <d v="2025-03-27T00:00:00"/>
    <d v="2025-04-15T00:00:00"/>
    <m/>
    <n v="0.74"/>
    <n v="25000"/>
    <n v="21800"/>
    <x v="4"/>
    <n v="3200"/>
    <s v="Within Budget"/>
    <n v="524"/>
  </r>
  <r>
    <s v="Budget Planning Tool"/>
    <s v="Backend Development"/>
    <x v="10"/>
    <s v="Medium"/>
    <d v="2024-01-16T00:00:00"/>
    <d v="2024-03-02T00:00:00"/>
    <d v="2024-03-31T00:00:00"/>
    <n v="1"/>
    <n v="83000"/>
    <n v="76800"/>
    <x v="0"/>
    <n v="6200"/>
    <s v="Within Budget"/>
    <n v="29"/>
  </r>
  <r>
    <s v="Customer Portal"/>
    <s v="Unit Testing"/>
    <x v="8"/>
    <s v="Medium"/>
    <d v="2025-04-26T00:00:00"/>
    <d v="2025-05-21T00:00:00"/>
    <m/>
    <n v="0"/>
    <n v="40000"/>
    <n v="0"/>
    <x v="3"/>
    <n v="40000"/>
    <s v="Within Budget"/>
    <n v="488"/>
  </r>
  <r>
    <s v="Social Media Revamp"/>
    <s v="Retrospective"/>
    <x v="6"/>
    <s v="Medium"/>
    <d v="2025-02-20T00:00:00"/>
    <d v="2025-03-07T00:00:00"/>
    <m/>
    <n v="0.66"/>
    <n v="49000"/>
    <n v="35400"/>
    <x v="1"/>
    <n v="13600"/>
    <s v="Within Budget"/>
    <n v="563"/>
  </r>
  <r>
    <s v="Compliance Overhaul"/>
    <s v="Sprint Planning"/>
    <x v="1"/>
    <s v="High"/>
    <d v="2025-04-21T00:00:00"/>
    <d v="2025-04-28T00:00:00"/>
    <m/>
    <n v="0"/>
    <n v="14000"/>
    <n v="0"/>
    <x v="3"/>
    <n v="14000"/>
    <s v="Within Budget"/>
    <n v="511"/>
  </r>
  <r>
    <s v="Onboarding Automation"/>
    <s v="Frontend Development"/>
    <x v="4"/>
    <s v="Medium"/>
    <d v="2024-01-26T00:00:00"/>
    <d v="2024-03-29T00:00:00"/>
    <m/>
    <n v="0.23"/>
    <n v="111000"/>
    <n v="133200"/>
    <x v="1"/>
    <n v="-22200"/>
    <s v="Over Budget"/>
    <n v="906"/>
  </r>
  <r>
    <s v="Training Platform"/>
    <s v="Change Management"/>
    <x v="14"/>
    <s v="Low"/>
    <d v="2025-04-18T00:00:00"/>
    <d v="2025-05-10T00:00:00"/>
    <m/>
    <n v="0.8"/>
    <n v="48000"/>
    <n v="31300"/>
    <x v="4"/>
    <n v="16700"/>
    <s v="Within Budget"/>
    <n v="499"/>
  </r>
  <r>
    <s v="Product Launch Q2"/>
    <s v="Integration Testing"/>
    <x v="24"/>
    <s v="Medium"/>
    <d v="2024-01-02T00:00:00"/>
    <d v="2024-01-27T00:00:00"/>
    <d v="2024-03-08T00:00:00"/>
    <n v="1"/>
    <n v="50000"/>
    <n v="57500"/>
    <x v="0"/>
    <n v="-7500"/>
    <s v="Over Budget"/>
    <n v="41"/>
  </r>
  <r>
    <s v="Website Redesign"/>
    <s v="Retrospective"/>
    <x v="18"/>
    <s v="High"/>
    <d v="2024-05-02T00:00:00"/>
    <d v="2024-05-08T00:00:00"/>
    <d v="2024-05-15T00:00:00"/>
    <n v="1"/>
    <n v="4000"/>
    <n v="4500"/>
    <x v="0"/>
    <n v="-500"/>
    <s v="Over Budget"/>
    <n v="7"/>
  </r>
  <r>
    <s v="Cloud Infrastructure"/>
    <s v="UI/UX Design"/>
    <x v="3"/>
    <s v="Medium"/>
    <d v="2024-06-24T00:00:00"/>
    <d v="2024-07-28T00:00:00"/>
    <m/>
    <n v="0.24"/>
    <n v="89000"/>
    <n v="99500"/>
    <x v="1"/>
    <n v="-10500"/>
    <s v="Over Budget"/>
    <n v="785"/>
  </r>
  <r>
    <s v="Compliance Overhaul"/>
    <s v="Frontend Development"/>
    <x v="6"/>
    <s v="High"/>
    <d v="2024-12-29T00:00:00"/>
    <d v="2025-03-03T00:00:00"/>
    <m/>
    <n v="0.62"/>
    <n v="199000"/>
    <n v="28000"/>
    <x v="5"/>
    <n v="171000"/>
    <s v="Within Budget"/>
    <n v="567"/>
  </r>
  <r>
    <s v="Supply Chain Optimization"/>
    <s v="SEO Optimization"/>
    <x v="13"/>
    <s v="Low"/>
    <d v="2024-06-17T00:00:00"/>
    <d v="2024-07-18T00:00:00"/>
    <d v="2024-07-26T00:00:00"/>
    <n v="1"/>
    <n v="61000"/>
    <n v="82200"/>
    <x v="0"/>
    <n v="-21200"/>
    <s v="Over Budget"/>
    <n v="8"/>
  </r>
  <r>
    <s v="Annual Report"/>
    <s v="Data Migration"/>
    <x v="7"/>
    <s v="Low"/>
    <d v="2024-05-27T00:00:00"/>
    <d v="2024-07-23T00:00:00"/>
    <d v="2024-07-15T00:00:00"/>
    <n v="1"/>
    <n v="83000"/>
    <n v="105000"/>
    <x v="0"/>
    <n v="-22000"/>
    <s v="Over Budget"/>
    <n v="-8"/>
  </r>
  <r>
    <s v="Product Launch Q1"/>
    <s v="Sprint Planning"/>
    <x v="12"/>
    <s v="Medium"/>
    <d v="2024-04-12T00:00:00"/>
    <d v="2024-04-25T00:00:00"/>
    <d v="2024-05-30T00:00:00"/>
    <n v="1"/>
    <n v="41000"/>
    <n v="49900"/>
    <x v="0"/>
    <n v="-8900"/>
    <s v="Over Budget"/>
    <n v="35"/>
  </r>
  <r>
    <s v="CRM Migration"/>
    <s v="Competitive Analysis"/>
    <x v="2"/>
    <s v="High"/>
    <d v="2024-04-20T00:00:00"/>
    <d v="2024-05-03T00:00:00"/>
    <m/>
    <n v="0.2"/>
    <n v="15000"/>
    <n v="17000"/>
    <x v="1"/>
    <n v="-2000"/>
    <s v="Over Budget"/>
    <n v="871"/>
  </r>
  <r>
    <s v="CRM Migration"/>
    <s v="Deployment Planning"/>
    <x v="24"/>
    <s v="Low"/>
    <d v="2024-07-27T00:00:00"/>
    <d v="2024-08-28T00:00:00"/>
    <d v="2024-09-06T00:00:00"/>
    <n v="1"/>
    <n v="68000"/>
    <n v="80200"/>
    <x v="0"/>
    <n v="-12200"/>
    <s v="Over Budget"/>
    <n v="9"/>
  </r>
  <r>
    <s v="Security Audit"/>
    <s v="Iteration Planning"/>
    <x v="8"/>
    <s v="Medium"/>
    <d v="2024-02-28T00:00:00"/>
    <d v="2024-03-16T00:00:00"/>
    <m/>
    <n v="0.71"/>
    <n v="35000"/>
    <n v="18200"/>
    <x v="1"/>
    <n v="16800"/>
    <s v="Within Budget"/>
    <n v="919"/>
  </r>
  <r>
    <s v="Social Media Revamp"/>
    <s v="Security Review"/>
    <x v="23"/>
    <s v="Medium"/>
    <d v="2025-02-19T00:00:00"/>
    <d v="2025-03-05T00:00:00"/>
    <m/>
    <n v="0.57999999999999996"/>
    <n v="42000"/>
    <n v="9100"/>
    <x v="5"/>
    <n v="32900"/>
    <s v="Within Budget"/>
    <n v="565"/>
  </r>
  <r>
    <s v="Mobile App Launch"/>
    <s v="Optimization"/>
    <x v="4"/>
    <s v="Critical"/>
    <d v="2024-06-27T00:00:00"/>
    <d v="2024-07-25T00:00:00"/>
    <d v="2024-07-08T00:00:00"/>
    <n v="0.25"/>
    <n v="46000"/>
    <n v="11000"/>
    <x v="2"/>
    <n v="35000"/>
    <s v="Within Budget"/>
    <n v="-17"/>
  </r>
  <r>
    <s v="Analytics Dashboard"/>
    <s v="Database Design"/>
    <x v="10"/>
    <s v="Critical"/>
    <d v="2024-05-27T00:00:00"/>
    <d v="2024-06-25T00:00:00"/>
    <d v="2024-07-29T00:00:00"/>
    <n v="1"/>
    <n v="36000"/>
    <n v="41700"/>
    <x v="0"/>
    <n v="-5700"/>
    <s v="Over Budget"/>
    <n v="34"/>
  </r>
  <r>
    <s v="Email Platform Migration"/>
    <s v="Asset Design"/>
    <x v="22"/>
    <s v="High"/>
    <d v="2024-02-29T00:00:00"/>
    <d v="2024-04-02T00:00:00"/>
    <d v="2024-03-12T00:00:00"/>
    <n v="0"/>
    <n v="50000"/>
    <n v="10500"/>
    <x v="2"/>
    <n v="39500"/>
    <s v="Within Budget"/>
    <n v="-21"/>
  </r>
  <r>
    <s v="Mobile App Launch"/>
    <s v="Feedback Collection"/>
    <x v="8"/>
    <s v="High"/>
    <d v="2024-10-26T00:00:00"/>
    <d v="2024-11-17T00:00:00"/>
    <d v="2024-10-27T00:00:00"/>
    <n v="0.1"/>
    <n v="22000"/>
    <n v="8600"/>
    <x v="2"/>
    <n v="13400"/>
    <s v="Within Budget"/>
    <n v="-21"/>
  </r>
  <r>
    <s v="Payment Integration"/>
    <s v="Training Materials"/>
    <x v="11"/>
    <s v="Medium"/>
    <d v="2024-01-04T00:00:00"/>
    <d v="2024-01-14T00:00:00"/>
    <d v="2024-01-14T00:00:00"/>
    <n v="1"/>
    <n v="3000"/>
    <n v="4000"/>
    <x v="0"/>
    <n v="-1000"/>
    <s v="Over Budget"/>
    <n v="0"/>
  </r>
  <r>
    <s v="Product Launch Q2"/>
    <s v="Content Creation"/>
    <x v="0"/>
    <s v="High"/>
    <d v="2024-04-09T00:00:00"/>
    <d v="2024-05-02T00:00:00"/>
    <d v="2024-05-07T00:00:00"/>
    <n v="1"/>
    <n v="35000"/>
    <n v="43100"/>
    <x v="0"/>
    <n v="-8100"/>
    <s v="Over Budget"/>
    <n v="5"/>
  </r>
  <r>
    <s v="Payment Integration"/>
    <s v="User Acceptance Testing"/>
    <x v="19"/>
    <s v="Low"/>
    <d v="2024-06-02T00:00:00"/>
    <d v="2024-06-10T00:00:00"/>
    <d v="2024-06-14T00:00:00"/>
    <n v="1"/>
    <n v="4000"/>
    <n v="4700"/>
    <x v="0"/>
    <n v="-700"/>
    <s v="Over Budget"/>
    <n v="4"/>
  </r>
  <r>
    <s v="Performance Review System"/>
    <s v="Training Materials"/>
    <x v="15"/>
    <s v="Medium"/>
    <d v="2024-01-16T00:00:00"/>
    <d v="2024-02-20T00:00:00"/>
    <m/>
    <n v="0.51"/>
    <n v="94000"/>
    <n v="91100"/>
    <x v="1"/>
    <n v="2900"/>
    <s v="Within Budget"/>
    <n v="944"/>
  </r>
  <r>
    <s v="Website Redesign"/>
    <s v="Optimization"/>
    <x v="24"/>
    <s v="Low"/>
    <d v="2024-05-09T00:00:00"/>
    <d v="2024-06-13T00:00:00"/>
    <d v="2024-07-20T00:00:00"/>
    <n v="1"/>
    <n v="95000"/>
    <n v="98600"/>
    <x v="0"/>
    <n v="-3600"/>
    <s v="Over Budget"/>
    <n v="37"/>
  </r>
  <r>
    <s v="Mobile App Launch"/>
    <s v="Backup Configuration"/>
    <x v="5"/>
    <s v="High"/>
    <d v="2024-10-17T00:00:00"/>
    <d v="2024-11-20T00:00:00"/>
    <d v="2024-11-01T00:00:00"/>
    <n v="0.25"/>
    <n v="57000"/>
    <n v="5600"/>
    <x v="2"/>
    <n v="51400"/>
    <s v="Within Budget"/>
    <n v="-19"/>
  </r>
  <r>
    <s v="Product Launch Q2"/>
    <s v="Status Reporting"/>
    <x v="16"/>
    <s v="Low"/>
    <d v="2025-04-22T00:00:00"/>
    <d v="2025-05-08T00:00:00"/>
    <m/>
    <n v="0"/>
    <n v="12000"/>
    <n v="0"/>
    <x v="3"/>
    <n v="12000"/>
    <s v="Within Budget"/>
    <n v="501"/>
  </r>
  <r>
    <s v="Security Audit"/>
    <s v="User Training"/>
    <x v="6"/>
    <s v="Medium"/>
    <d v="2025-06-21T00:00:00"/>
    <d v="2025-07-14T00:00:00"/>
    <m/>
    <n v="0"/>
    <n v="38000"/>
    <n v="0"/>
    <x v="3"/>
    <n v="38000"/>
    <s v="Within Budget"/>
    <n v="434"/>
  </r>
  <r>
    <s v="Analytics Dashboard"/>
    <s v="A/B Testing Setup"/>
    <x v="12"/>
    <s v="High"/>
    <d v="2024-12-09T00:00:00"/>
    <d v="2025-01-09T00:00:00"/>
    <d v="2025-02-20T00:00:00"/>
    <n v="1"/>
    <n v="72000"/>
    <n v="68400"/>
    <x v="0"/>
    <n v="3600"/>
    <s v="Within Budget"/>
    <n v="42"/>
  </r>
  <r>
    <s v="Social Media Revamp"/>
    <s v="Documentation"/>
    <x v="10"/>
    <s v="Critical"/>
    <d v="2024-05-29T00:00:00"/>
    <d v="2024-06-05T00:00:00"/>
    <d v="2024-06-09T00:00:00"/>
    <n v="1"/>
    <n v="6000"/>
    <n v="7300"/>
    <x v="0"/>
    <n v="-1300"/>
    <s v="Over Budget"/>
    <n v="4"/>
  </r>
  <r>
    <s v="Brand Refresh"/>
    <s v="Performance Testing"/>
    <x v="15"/>
    <s v="High"/>
    <d v="2024-11-12T00:00:00"/>
    <d v="2024-12-01T00:00:00"/>
    <d v="2024-12-15T00:00:00"/>
    <n v="1"/>
    <n v="15000"/>
    <n v="16700"/>
    <x v="0"/>
    <n v="-1700"/>
    <s v="Over Budget"/>
    <n v="14"/>
  </r>
  <r>
    <s v="Inventory System"/>
    <s v="Bug Fixes"/>
    <x v="16"/>
    <s v="Medium"/>
    <d v="2024-09-03T00:00:00"/>
    <d v="2024-10-07T00:00:00"/>
    <d v="2024-10-20T00:00:00"/>
    <n v="1"/>
    <n v="90000"/>
    <n v="110700"/>
    <x v="0"/>
    <n v="-20700"/>
    <s v="Over Budget"/>
    <n v="13"/>
  </r>
  <r>
    <s v="Payment Integration"/>
    <s v="Backup Configuration"/>
    <x v="4"/>
    <s v="High"/>
    <d v="2025-02-07T00:00:00"/>
    <d v="2025-02-14T00:00:00"/>
    <m/>
    <n v="0.23"/>
    <n v="4000"/>
    <n v="700"/>
    <x v="4"/>
    <n v="3300"/>
    <s v="Within Budget"/>
    <n v="584"/>
  </r>
  <r>
    <s v="Mobile App Launch"/>
    <s v="Analytics Integration"/>
    <x v="16"/>
    <s v="Low"/>
    <d v="2025-01-04T00:00:00"/>
    <d v="2025-01-28T00:00:00"/>
    <m/>
    <n v="0.37"/>
    <n v="40000"/>
    <n v="14600"/>
    <x v="4"/>
    <n v="25400"/>
    <s v="Within Budget"/>
    <n v="601"/>
  </r>
  <r>
    <s v="Website Redesign"/>
    <s v="Status Reporting"/>
    <x v="12"/>
    <s v="Medium"/>
    <d v="2024-07-10T00:00:00"/>
    <d v="2024-07-29T00:00:00"/>
    <d v="2024-07-26T00:00:00"/>
    <n v="1"/>
    <n v="15000"/>
    <n v="17800"/>
    <x v="0"/>
    <n v="-2800"/>
    <s v="Over Budget"/>
    <n v="-3"/>
  </r>
  <r>
    <s v="Budget Planning Tool"/>
    <s v="Quality Assurance"/>
    <x v="5"/>
    <s v="Medium"/>
    <d v="2024-03-27T00:00:00"/>
    <d v="2024-05-01T00:00:00"/>
    <d v="2024-05-06T00:00:00"/>
    <n v="1"/>
    <n v="76000"/>
    <n v="100700"/>
    <x v="0"/>
    <n v="-24700"/>
    <s v="Over Budget"/>
    <n v="5"/>
  </r>
  <r>
    <s v="Product Launch Q1"/>
    <s v="Frontend Development"/>
    <x v="5"/>
    <s v="High"/>
    <d v="2024-12-19T00:00:00"/>
    <d v="2025-02-03T00:00:00"/>
    <d v="2025-03-18T00:00:00"/>
    <n v="1"/>
    <n v="58000"/>
    <n v="66900"/>
    <x v="0"/>
    <n v="-8900"/>
    <s v="Over Budget"/>
    <n v="43"/>
  </r>
  <r>
    <s v="CRM Migration"/>
    <s v="Content Creation"/>
    <x v="23"/>
    <s v="Medium"/>
    <d v="2024-11-28T00:00:00"/>
    <d v="2024-12-11T00:00:00"/>
    <d v="2024-12-15T00:00:00"/>
    <n v="1"/>
    <n v="13000"/>
    <n v="14800"/>
    <x v="0"/>
    <n v="-1800"/>
    <s v="Over Budget"/>
    <n v="4"/>
  </r>
  <r>
    <s v="Training Platform"/>
    <s v="Communication Plan"/>
    <x v="5"/>
    <s v="Critical"/>
    <d v="2024-11-01T00:00:00"/>
    <d v="2024-11-14T00:00:00"/>
    <m/>
    <n v="0.68"/>
    <n v="38000"/>
    <n v="35800"/>
    <x v="1"/>
    <n v="2200"/>
    <s v="Within Budget"/>
    <n v="676"/>
  </r>
  <r>
    <s v="Mobile App Launch"/>
    <s v="Requirements Gathering"/>
    <x v="14"/>
    <s v="Low"/>
    <d v="2024-05-09T00:00:00"/>
    <d v="2024-05-16T00:00:00"/>
    <d v="2024-05-11T00:00:00"/>
    <n v="0.2"/>
    <n v="5000"/>
    <n v="1300"/>
    <x v="2"/>
    <n v="3700"/>
    <s v="Within Budget"/>
    <n v="-5"/>
  </r>
  <r>
    <s v="Vendor Portal"/>
    <s v="Content Creation"/>
    <x v="9"/>
    <s v="Low"/>
    <d v="2025-04-01T00:00:00"/>
    <d v="2025-04-13T00:00:00"/>
    <m/>
    <n v="0.59"/>
    <n v="42000"/>
    <n v="22700"/>
    <x v="4"/>
    <n v="19300"/>
    <s v="Within Budget"/>
    <n v="526"/>
  </r>
  <r>
    <s v="Vendor Portal"/>
    <s v="Iteration Planning"/>
    <x v="7"/>
    <s v="Low"/>
    <d v="2025-05-11T00:00:00"/>
    <d v="2025-06-04T00:00:00"/>
    <m/>
    <n v="0"/>
    <n v="26000"/>
    <n v="0"/>
    <x v="3"/>
    <n v="26000"/>
    <s v="Within Budget"/>
    <n v="474"/>
  </r>
  <r>
    <s v="Data Warehouse Build"/>
    <s v="Stakeholder Interviews"/>
    <x v="24"/>
    <s v="High"/>
    <d v="2024-06-30T00:00:00"/>
    <d v="2024-07-07T00:00:00"/>
    <d v="2024-07-02T00:00:00"/>
    <n v="0.1"/>
    <n v="8000"/>
    <n v="2700"/>
    <x v="2"/>
    <n v="5300"/>
    <s v="Within Budget"/>
    <n v="-5"/>
  </r>
  <r>
    <s v="Product Launch Q1"/>
    <s v="Code Review"/>
    <x v="4"/>
    <s v="High"/>
    <d v="2024-05-09T00:00:00"/>
    <d v="2024-05-31T00:00:00"/>
    <d v="2024-06-04T00:00:00"/>
    <n v="1"/>
    <n v="33000"/>
    <n v="35900"/>
    <x v="0"/>
    <n v="-2900"/>
    <s v="Over Budget"/>
    <n v="4"/>
  </r>
  <r>
    <s v="Onboarding Automation"/>
    <s v="Market Research"/>
    <x v="3"/>
    <s v="Critical"/>
    <d v="2024-09-20T00:00:00"/>
    <d v="2024-09-25T00:00:00"/>
    <d v="2024-09-17T00:00:00"/>
    <n v="1"/>
    <n v="10000"/>
    <n v="8700"/>
    <x v="0"/>
    <n v="1300"/>
    <s v="Within Budget"/>
    <n v="-8"/>
  </r>
  <r>
    <s v="ERP Implementation"/>
    <s v="Security Review"/>
    <x v="1"/>
    <s v="High"/>
    <d v="2024-02-28T00:00:00"/>
    <d v="2024-03-07T00:00:00"/>
    <d v="2024-03-11T00:00:00"/>
    <n v="1"/>
    <n v="13000"/>
    <n v="14400"/>
    <x v="0"/>
    <n v="-1400"/>
    <s v="Over Budget"/>
    <n v="4"/>
  </r>
  <r>
    <s v="Product Launch Q1"/>
    <s v="System Configuration"/>
    <x v="19"/>
    <s v="Medium"/>
    <d v="2025-03-15T00:00:00"/>
    <d v="2025-04-03T00:00:00"/>
    <m/>
    <n v="0.75"/>
    <n v="25000"/>
    <n v="19700"/>
    <x v="4"/>
    <n v="5300"/>
    <s v="Within Budget"/>
    <n v="536"/>
  </r>
  <r>
    <s v="Data Warehouse Build"/>
    <s v="Vendor Evaluation"/>
    <x v="23"/>
    <s v="High"/>
    <d v="2024-11-29T00:00:00"/>
    <d v="2024-12-18T00:00:00"/>
    <d v="2025-01-02T00:00:00"/>
    <n v="1"/>
    <n v="10000"/>
    <n v="11800"/>
    <x v="0"/>
    <n v="-1800"/>
    <s v="Over Budget"/>
    <n v="15"/>
  </r>
  <r>
    <s v="Website Redesign"/>
    <s v="Unit Testing"/>
    <x v="1"/>
    <s v="Low"/>
    <d v="2025-04-28T00:00:00"/>
    <d v="2025-05-30T00:00:00"/>
    <m/>
    <n v="0.35"/>
    <n v="87000"/>
    <n v="35900"/>
    <x v="4"/>
    <n v="51100"/>
    <s v="Within Budget"/>
    <n v="479"/>
  </r>
  <r>
    <s v="DevOps Pipeline"/>
    <s v="User Acceptance Testing"/>
    <x v="20"/>
    <s v="High"/>
    <d v="2024-10-16T00:00:00"/>
    <d v="2024-10-25T00:00:00"/>
    <d v="2024-11-18T00:00:00"/>
    <n v="1"/>
    <n v="7000"/>
    <n v="7900"/>
    <x v="0"/>
    <n v="-900"/>
    <s v="Over Budget"/>
    <n v="24"/>
  </r>
  <r>
    <s v="Analytics Dashboard"/>
    <s v="Budget Review"/>
    <x v="4"/>
    <s v="Low"/>
    <d v="2024-11-28T00:00:00"/>
    <d v="2024-12-31T00:00:00"/>
    <d v="2025-02-04T00:00:00"/>
    <n v="1"/>
    <n v="86000"/>
    <n v="93200"/>
    <x v="0"/>
    <n v="-7200"/>
    <s v="Over Budget"/>
    <n v="35"/>
  </r>
  <r>
    <s v="Onboarding Automation"/>
    <s v="Technical Architecture"/>
    <x v="23"/>
    <s v="Low"/>
    <d v="2024-03-11T00:00:00"/>
    <d v="2024-03-28T00:00:00"/>
    <d v="2024-05-05T00:00:00"/>
    <n v="1"/>
    <n v="34000"/>
    <n v="40900"/>
    <x v="0"/>
    <n v="-6900"/>
    <s v="Over Budget"/>
    <n v="38"/>
  </r>
  <r>
    <s v="Mobile App Launch"/>
    <s v="SEO Optimization"/>
    <x v="9"/>
    <s v="Low"/>
    <d v="2025-03-20T00:00:00"/>
    <d v="2025-04-19T00:00:00"/>
    <m/>
    <n v="0"/>
    <n v="37000"/>
    <n v="0"/>
    <x v="3"/>
    <n v="37000"/>
    <s v="Within Budget"/>
    <n v="520"/>
  </r>
  <r>
    <s v="HR System Upgrade"/>
    <s v="Stakeholder Interviews"/>
    <x v="22"/>
    <s v="High"/>
    <d v="2024-10-23T00:00:00"/>
    <d v="2024-10-31T00:00:00"/>
    <m/>
    <n v="0.61"/>
    <n v="3000"/>
    <n v="3700"/>
    <x v="1"/>
    <n v="-700"/>
    <s v="Over Budget"/>
    <n v="690"/>
  </r>
  <r>
    <s v="Inventory System"/>
    <s v="Training Materials"/>
    <x v="2"/>
    <s v="Low"/>
    <d v="2025-05-19T00:00:00"/>
    <d v="2025-05-30T00:00:00"/>
    <m/>
    <n v="0.47"/>
    <n v="17000"/>
    <n v="6700"/>
    <x v="4"/>
    <n v="10300"/>
    <s v="Within Budget"/>
    <n v="479"/>
  </r>
  <r>
    <s v="Training Platform"/>
    <s v="API Development"/>
    <x v="21"/>
    <s v="Medium"/>
    <d v="2025-06-13T00:00:00"/>
    <d v="2025-06-22T00:00:00"/>
    <m/>
    <n v="0"/>
    <n v="11000"/>
    <n v="0"/>
    <x v="3"/>
    <n v="11000"/>
    <s v="Within Budget"/>
    <n v="456"/>
  </r>
  <r>
    <s v="Annual Report"/>
    <s v="Iteration Planning"/>
    <x v="17"/>
    <s v="High"/>
    <d v="2024-12-30T00:00:00"/>
    <d v="2025-02-02T00:00:00"/>
    <m/>
    <n v="0.8"/>
    <n v="40000"/>
    <n v="37400"/>
    <x v="1"/>
    <n v="2600"/>
    <s v="Within Budget"/>
    <n v="596"/>
  </r>
  <r>
    <s v="Social Media Revamp"/>
    <s v="Integration Testing"/>
    <x v="4"/>
    <s v="High"/>
    <d v="2024-11-30T00:00:00"/>
    <d v="2024-12-31T00:00:00"/>
    <d v="2024-12-31T00:00:00"/>
    <n v="1"/>
    <n v="91000"/>
    <n v="109600"/>
    <x v="0"/>
    <n v="-18600"/>
    <s v="Over Budget"/>
    <n v="0"/>
  </r>
  <r>
    <s v="CRM Migration"/>
    <s v="Asset Design"/>
    <x v="19"/>
    <s v="Low"/>
    <d v="2025-04-08T00:00:00"/>
    <d v="2025-05-07T00:00:00"/>
    <m/>
    <n v="0.36"/>
    <n v="35000"/>
    <n v="12600"/>
    <x v="4"/>
    <n v="22400"/>
    <s v="Within Budget"/>
    <n v="502"/>
  </r>
  <r>
    <s v="Training Platform"/>
    <s v="Accessibility Audit"/>
    <x v="20"/>
    <s v="Low"/>
    <d v="2024-05-23T00:00:00"/>
    <d v="2024-06-18T00:00:00"/>
    <d v="2024-06-19T00:00:00"/>
    <n v="1"/>
    <n v="41000"/>
    <n v="54700"/>
    <x v="0"/>
    <n v="-13700"/>
    <s v="Over Budget"/>
    <n v="1"/>
  </r>
  <r>
    <s v="Website Redesign"/>
    <s v="Contract Negotiation"/>
    <x v="18"/>
    <s v="Medium"/>
    <d v="2024-12-12T00:00:00"/>
    <d v="2024-12-19T00:00:00"/>
    <d v="2024-12-29T00:00:00"/>
    <n v="1"/>
    <n v="3000"/>
    <n v="3900"/>
    <x v="0"/>
    <n v="-900"/>
    <s v="Over Budget"/>
    <n v="10"/>
  </r>
  <r>
    <s v="Brand Refresh"/>
    <s v="Go-Live Preparation"/>
    <x v="16"/>
    <s v="High"/>
    <d v="2024-02-07T00:00:00"/>
    <d v="2024-02-21T00:00:00"/>
    <d v="2024-03-08T00:00:00"/>
    <n v="1"/>
    <n v="15000"/>
    <n v="15400"/>
    <x v="0"/>
    <n v="-400"/>
    <s v="Over Budget"/>
    <n v="16"/>
  </r>
  <r>
    <s v="Website Redesign"/>
    <s v="Backup Configuration"/>
    <x v="16"/>
    <s v="Critical"/>
    <d v="2024-06-20T00:00:00"/>
    <d v="2024-07-16T00:00:00"/>
    <m/>
    <n v="0.28999999999999998"/>
    <n v="22000"/>
    <n v="28300"/>
    <x v="1"/>
    <n v="-6300"/>
    <s v="Over Budget"/>
    <n v="797"/>
  </r>
  <r>
    <s v="Marketing Automation"/>
    <s v="Infrastructure Setup"/>
    <x v="24"/>
    <s v="Low"/>
    <d v="2024-10-22T00:00:00"/>
    <d v="2024-11-18T00:00:00"/>
    <d v="2024-11-10T00:00:00"/>
    <n v="1"/>
    <n v="39000"/>
    <n v="43000"/>
    <x v="0"/>
    <n v="-4000"/>
    <s v="Over Budget"/>
    <n v="-8"/>
  </r>
  <r>
    <s v="Office Relocation"/>
    <s v="Competitive Analysis"/>
    <x v="8"/>
    <s v="Medium"/>
    <d v="2024-04-02T00:00:00"/>
    <d v="2024-04-14T00:00:00"/>
    <d v="2024-05-01T00:00:00"/>
    <n v="1"/>
    <n v="39000"/>
    <n v="38800"/>
    <x v="0"/>
    <n v="200"/>
    <s v="Within Budget"/>
    <n v="17"/>
  </r>
  <r>
    <s v="API Gateway"/>
    <s v="Competitive Analysis"/>
    <x v="2"/>
    <s v="Low"/>
    <d v="2024-10-10T00:00:00"/>
    <d v="2024-11-11T00:00:00"/>
    <d v="2024-11-09T00:00:00"/>
    <n v="1"/>
    <n v="49000"/>
    <n v="60500"/>
    <x v="0"/>
    <n v="-11500"/>
    <s v="Over Budget"/>
    <n v="-2"/>
  </r>
  <r>
    <s v="Annual Report"/>
    <s v="Prototype Development"/>
    <x v="6"/>
    <s v="High"/>
    <d v="2024-03-11T00:00:00"/>
    <d v="2024-03-28T00:00:00"/>
    <d v="2024-04-25T00:00:00"/>
    <n v="1"/>
    <n v="18000"/>
    <n v="17300"/>
    <x v="0"/>
    <n v="700"/>
    <s v="Within Budget"/>
    <n v="28"/>
  </r>
  <r>
    <s v="Chatbot Development"/>
    <s v="Training Materials"/>
    <x v="1"/>
    <s v="High"/>
    <d v="2025-03-22T00:00:00"/>
    <d v="2025-03-30T00:00:00"/>
    <m/>
    <n v="0"/>
    <n v="3000"/>
    <n v="0"/>
    <x v="3"/>
    <n v="3000"/>
    <s v="Within Budget"/>
    <n v="540"/>
  </r>
  <r>
    <s v="CRM Migration"/>
    <s v="Code Review"/>
    <x v="8"/>
    <s v="Medium"/>
    <d v="2024-09-04T00:00:00"/>
    <d v="2024-09-16T00:00:00"/>
    <d v="2024-09-14T00:00:00"/>
    <n v="1"/>
    <n v="41000"/>
    <n v="47000"/>
    <x v="0"/>
    <n v="-6000"/>
    <s v="Over Budget"/>
    <n v="-2"/>
  </r>
  <r>
    <s v="Vendor Portal"/>
    <s v="Optimization"/>
    <x v="6"/>
    <s v="High"/>
    <d v="2024-08-19T00:00:00"/>
    <d v="2024-09-07T00:00:00"/>
    <d v="2024-08-22T00:00:00"/>
    <n v="0.1"/>
    <n v="31000"/>
    <n v="6100"/>
    <x v="2"/>
    <n v="24900"/>
    <s v="Within Budget"/>
    <n v="-16"/>
  </r>
  <r>
    <s v="HR System Upgrade"/>
    <s v="Stakeholder Interviews"/>
    <x v="21"/>
    <s v="Medium"/>
    <d v="2025-06-23T00:00:00"/>
    <d v="2025-06-28T00:00:00"/>
    <m/>
    <n v="0.15"/>
    <n v="8000"/>
    <n v="1100"/>
    <x v="4"/>
    <n v="6900"/>
    <s v="Within Budget"/>
    <n v="450"/>
  </r>
  <r>
    <s v="Payment Integration"/>
    <s v="Bug Fixes"/>
    <x v="5"/>
    <s v="Medium"/>
    <d v="2025-03-05T00:00:00"/>
    <d v="2025-03-15T00:00:00"/>
    <m/>
    <n v="0"/>
    <n v="3000"/>
    <n v="0"/>
    <x v="3"/>
    <n v="3000"/>
    <s v="Within Budget"/>
    <n v="555"/>
  </r>
  <r>
    <s v="Vendor Portal"/>
    <s v="Prototype Development"/>
    <x v="21"/>
    <s v="Medium"/>
    <d v="2025-03-25T00:00:00"/>
    <d v="2025-04-18T00:00:00"/>
    <m/>
    <n v="0"/>
    <n v="42000"/>
    <n v="0"/>
    <x v="3"/>
    <n v="42000"/>
    <s v="Within Budget"/>
    <n v="521"/>
  </r>
  <r>
    <s v="Payment Integration"/>
    <s v="Wireframing"/>
    <x v="23"/>
    <s v="Low"/>
    <d v="2024-07-05T00:00:00"/>
    <d v="2024-07-31T00:00:00"/>
    <d v="2024-08-09T00:00:00"/>
    <n v="1"/>
    <n v="31000"/>
    <n v="40300"/>
    <x v="0"/>
    <n v="-9300"/>
    <s v="Over Budget"/>
    <n v="9"/>
  </r>
  <r>
    <s v="Website Redesign"/>
    <s v="Competitive Analysis"/>
    <x v="0"/>
    <s v="Medium"/>
    <d v="2025-01-15T00:00:00"/>
    <d v="2025-01-23T00:00:00"/>
    <m/>
    <n v="0.55000000000000004"/>
    <n v="8000"/>
    <n v="3500"/>
    <x v="5"/>
    <n v="4500"/>
    <s v="Within Budget"/>
    <n v="606"/>
  </r>
  <r>
    <s v="Website Redesign"/>
    <s v="Deployment Planning"/>
    <x v="24"/>
    <s v="Low"/>
    <d v="2025-02-12T00:00:00"/>
    <d v="2025-02-28T00:00:00"/>
    <m/>
    <n v="0.17"/>
    <n v="31000"/>
    <n v="5400"/>
    <x v="4"/>
    <n v="25600"/>
    <s v="Within Budget"/>
    <n v="570"/>
  </r>
  <r>
    <s v="Performance Review System"/>
    <s v="User Acceptance Testing"/>
    <x v="12"/>
    <s v="Low"/>
    <d v="2025-01-02T00:00:00"/>
    <d v="2025-01-28T00:00:00"/>
    <m/>
    <n v="0.64"/>
    <n v="15000"/>
    <n v="11400"/>
    <x v="4"/>
    <n v="3600"/>
    <s v="Within Budget"/>
    <n v="601"/>
  </r>
  <r>
    <s v="API Gateway"/>
    <s v="Prototype Development"/>
    <x v="8"/>
    <s v="High"/>
    <d v="2025-01-21T00:00:00"/>
    <d v="2025-02-23T00:00:00"/>
    <m/>
    <n v="0.26"/>
    <n v="81000"/>
    <n v="27700"/>
    <x v="5"/>
    <n v="53300"/>
    <s v="Within Budget"/>
    <n v="575"/>
  </r>
  <r>
    <s v="DevOps Pipeline"/>
    <s v="Code Review"/>
    <x v="16"/>
    <s v="High"/>
    <d v="2025-04-06T00:00:00"/>
    <d v="2025-04-22T00:00:00"/>
    <m/>
    <n v="0"/>
    <n v="38000"/>
    <n v="0"/>
    <x v="3"/>
    <n v="38000"/>
    <s v="Within Budget"/>
    <n v="517"/>
  </r>
  <r>
    <s v="Cloud Infrastructure"/>
    <s v="Communication Plan"/>
    <x v="14"/>
    <s v="Critical"/>
    <d v="2024-03-03T00:00:00"/>
    <d v="2024-03-16T00:00:00"/>
    <m/>
    <n v="0.61"/>
    <n v="41000"/>
    <n v="52000"/>
    <x v="1"/>
    <n v="-11000"/>
    <s v="Over Budget"/>
    <n v="919"/>
  </r>
  <r>
    <s v="HR System Upgrade"/>
    <s v="Analytics Integration"/>
    <x v="24"/>
    <s v="High"/>
    <d v="2024-01-07T00:00:00"/>
    <d v="2024-02-09T00:00:00"/>
    <d v="2024-02-11T00:00:00"/>
    <n v="1"/>
    <n v="40000"/>
    <n v="39100"/>
    <x v="0"/>
    <n v="900"/>
    <s v="Within Budget"/>
    <n v="2"/>
  </r>
  <r>
    <s v="Marketing Automation"/>
    <s v="API Development"/>
    <x v="6"/>
    <s v="Medium"/>
    <d v="2024-05-27T00:00:00"/>
    <d v="2024-06-07T00:00:00"/>
    <d v="2024-05-30T00:00:00"/>
    <n v="0"/>
    <n v="11000"/>
    <n v="4100"/>
    <x v="2"/>
    <n v="6900"/>
    <s v="Within Budget"/>
    <n v="-8"/>
  </r>
  <r>
    <s v="Budget Planning Tool"/>
    <s v="Frontend Development"/>
    <x v="3"/>
    <s v="Medium"/>
    <d v="2025-06-02T00:00:00"/>
    <d v="2025-08-14T00:00:00"/>
    <m/>
    <n v="0"/>
    <n v="177000"/>
    <n v="0"/>
    <x v="3"/>
    <n v="177000"/>
    <s v="Within Budget"/>
    <n v="403"/>
  </r>
  <r>
    <s v="Product Launch Q1"/>
    <s v="UI/UX Design"/>
    <x v="14"/>
    <s v="Critical"/>
    <d v="2024-11-22T00:00:00"/>
    <d v="2024-12-06T00:00:00"/>
    <d v="2025-01-18T00:00:00"/>
    <n v="1"/>
    <n v="42000"/>
    <n v="48400"/>
    <x v="0"/>
    <n v="-6400"/>
    <s v="Over Budget"/>
    <n v="43"/>
  </r>
  <r>
    <s v="Office Relocation"/>
    <s v="Code Review"/>
    <x v="2"/>
    <s v="Medium"/>
    <d v="2024-01-05T00:00:00"/>
    <d v="2024-01-31T00:00:00"/>
    <d v="2024-02-01T00:00:00"/>
    <n v="1"/>
    <n v="21000"/>
    <n v="22600"/>
    <x v="0"/>
    <n v="-1600"/>
    <s v="Over Budget"/>
    <n v="1"/>
  </r>
  <r>
    <s v="API Gateway"/>
    <s v="Documentation"/>
    <x v="20"/>
    <s v="Medium"/>
    <d v="2025-04-17T00:00:00"/>
    <d v="2025-05-02T00:00:00"/>
    <m/>
    <n v="0.4"/>
    <n v="37000"/>
    <n v="14500"/>
    <x v="4"/>
    <n v="22500"/>
    <s v="Within Budget"/>
    <n v="507"/>
  </r>
  <r>
    <s v="Inventory System"/>
    <s v="Sprint Planning"/>
    <x v="22"/>
    <s v="Low"/>
    <d v="2024-03-27T00:00:00"/>
    <d v="2024-04-01T00:00:00"/>
    <d v="2024-04-05T00:00:00"/>
    <n v="1"/>
    <n v="7000"/>
    <n v="6800"/>
    <x v="0"/>
    <n v="200"/>
    <s v="Within Budget"/>
    <n v="4"/>
  </r>
  <r>
    <s v="Budget Planning Tool"/>
    <s v="Change Management"/>
    <x v="21"/>
    <s v="Critical"/>
    <d v="2024-12-16T00:00:00"/>
    <d v="2025-01-12T00:00:00"/>
    <m/>
    <n v="0.44"/>
    <n v="14000"/>
    <n v="7000"/>
    <x v="4"/>
    <n v="7000"/>
    <s v="Within Budget"/>
    <n v="617"/>
  </r>
  <r>
    <s v="Email Platform Migration"/>
    <s v="Stakeholder Interviews"/>
    <x v="13"/>
    <s v="High"/>
    <d v="2024-03-23T00:00:00"/>
    <d v="2024-03-28T00:00:00"/>
    <m/>
    <n v="0.36"/>
    <n v="15000"/>
    <n v="12700"/>
    <x v="1"/>
    <n v="2300"/>
    <s v="Within Budget"/>
    <n v="907"/>
  </r>
  <r>
    <s v="Compliance Overhaul"/>
    <s v="Deployment Planning"/>
    <x v="1"/>
    <s v="High"/>
    <d v="2024-10-28T00:00:00"/>
    <d v="2024-12-01T00:00:00"/>
    <d v="2024-12-05T00:00:00"/>
    <n v="1"/>
    <n v="92000"/>
    <n v="102400"/>
    <x v="0"/>
    <n v="-10400"/>
    <s v="Over Budget"/>
    <n v="4"/>
  </r>
  <r>
    <s v="Product Launch Q1"/>
    <s v="Backend Development"/>
    <x v="19"/>
    <s v="Critical"/>
    <d v="2024-09-01T00:00:00"/>
    <d v="2024-10-16T00:00:00"/>
    <d v="2024-10-30T00:00:00"/>
    <n v="1"/>
    <n v="31000"/>
    <n v="35500"/>
    <x v="0"/>
    <n v="-4500"/>
    <s v="Over Budget"/>
    <n v="14"/>
  </r>
  <r>
    <s v="Analytics Dashboard"/>
    <s v="Content Creation"/>
    <x v="22"/>
    <s v="Low"/>
    <d v="2024-08-14T00:00:00"/>
    <d v="2024-09-02T00:00:00"/>
    <d v="2024-09-05T00:00:00"/>
    <n v="1"/>
    <n v="49000"/>
    <n v="58400"/>
    <x v="0"/>
    <n v="-9400"/>
    <s v="Over Budget"/>
    <n v="3"/>
  </r>
  <r>
    <s v="Onboarding Automation"/>
    <s v="SEO Optimization"/>
    <x v="7"/>
    <s v="Low"/>
    <d v="2024-08-02T00:00:00"/>
    <d v="2024-08-22T00:00:00"/>
    <d v="2024-08-10T00:00:00"/>
    <n v="0.2"/>
    <n v="22000"/>
    <n v="4300"/>
    <x v="2"/>
    <n v="17700"/>
    <s v="Within Budget"/>
    <n v="-12"/>
  </r>
  <r>
    <s v="Compliance Overhaul"/>
    <s v="Risk Assessment"/>
    <x v="6"/>
    <s v="Critical"/>
    <d v="2024-07-29T00:00:00"/>
    <d v="2024-08-25T00:00:00"/>
    <d v="2024-08-29T00:00:00"/>
    <n v="1"/>
    <n v="18000"/>
    <n v="15300"/>
    <x v="0"/>
    <n v="2700"/>
    <s v="Within Budget"/>
    <n v="4"/>
  </r>
  <r>
    <s v="Payment Integration"/>
    <s v="Analytics Integration"/>
    <x v="6"/>
    <s v="High"/>
    <d v="2024-12-01T00:00:00"/>
    <d v="2024-12-28T00:00:00"/>
    <d v="2025-01-03T00:00:00"/>
    <n v="1"/>
    <n v="47000"/>
    <n v="50700"/>
    <x v="0"/>
    <n v="-3700"/>
    <s v="Over Budget"/>
    <n v="6"/>
  </r>
  <r>
    <s v="API Gateway"/>
    <s v="Bug Fixes"/>
    <x v="20"/>
    <s v="Low"/>
    <d v="2025-03-25T00:00:00"/>
    <d v="2025-04-10T00:00:00"/>
    <m/>
    <n v="0"/>
    <n v="33000"/>
    <n v="0"/>
    <x v="3"/>
    <n v="33000"/>
    <s v="Within Budget"/>
    <n v="529"/>
  </r>
  <r>
    <s v="Payment Integration"/>
    <s v="Asset Design"/>
    <x v="11"/>
    <s v="High"/>
    <d v="2025-01-04T00:00:00"/>
    <d v="2025-01-12T00:00:00"/>
    <m/>
    <n v="0.12"/>
    <n v="15000"/>
    <n v="2100"/>
    <x v="4"/>
    <n v="12900"/>
    <s v="Within Budget"/>
    <n v="617"/>
  </r>
  <r>
    <s v="Chatbot Development"/>
    <s v="Content Creation"/>
    <x v="22"/>
    <s v="Low"/>
    <d v="2024-01-26T00:00:00"/>
    <d v="2024-02-18T00:00:00"/>
    <d v="2024-01-30T00:00:00"/>
    <n v="0.25"/>
    <n v="27000"/>
    <n v="5700"/>
    <x v="2"/>
    <n v="21300"/>
    <s v="Within Budget"/>
    <n v="-19"/>
  </r>
  <r>
    <s v="Budget Planning Tool"/>
    <s v="Optimization"/>
    <x v="11"/>
    <s v="High"/>
    <d v="2024-07-27T00:00:00"/>
    <d v="2024-08-03T00:00:00"/>
    <d v="2024-09-05T00:00:00"/>
    <n v="1"/>
    <n v="4000"/>
    <n v="4900"/>
    <x v="0"/>
    <n v="-900"/>
    <s v="Over Budget"/>
    <n v="33"/>
  </r>
  <r>
    <s v="Inventory System"/>
    <s v="Feedback Collection"/>
    <x v="22"/>
    <s v="Medium"/>
    <d v="2024-07-06T00:00:00"/>
    <d v="2024-07-14T00:00:00"/>
    <d v="2024-07-09T00:00:00"/>
    <n v="0.2"/>
    <n v="8000"/>
    <n v="1600"/>
    <x v="2"/>
    <n v="6400"/>
    <s v="Within Budget"/>
    <n v="-5"/>
  </r>
  <r>
    <s v="Marketing Automation"/>
    <s v="Training Materials"/>
    <x v="15"/>
    <s v="Low"/>
    <d v="2024-02-02T00:00:00"/>
    <d v="2024-02-21T00:00:00"/>
    <d v="2024-02-06T00:00:00"/>
    <n v="0.15"/>
    <n v="33000"/>
    <n v="10900"/>
    <x v="2"/>
    <n v="22100"/>
    <s v="Within Budget"/>
    <n v="-15"/>
  </r>
  <r>
    <s v="ERP Implementation"/>
    <s v="Risk Assessment"/>
    <x v="17"/>
    <s v="High"/>
    <d v="2024-01-21T00:00:00"/>
    <d v="2024-02-21T00:00:00"/>
    <d v="2024-02-14T00:00:00"/>
    <n v="1"/>
    <n v="78000"/>
    <n v="76600"/>
    <x v="0"/>
    <n v="1400"/>
    <s v="Within Budget"/>
    <n v="-7"/>
  </r>
  <r>
    <s v="Email Platform Migration"/>
    <s v="Contract Negotiation"/>
    <x v="8"/>
    <s v="Low"/>
    <d v="2024-02-09T00:00:00"/>
    <d v="2024-02-25T00:00:00"/>
    <d v="2024-02-27T00:00:00"/>
    <n v="1"/>
    <n v="44000"/>
    <n v="52600"/>
    <x v="0"/>
    <n v="-8600"/>
    <s v="Over Budget"/>
    <n v="2"/>
  </r>
  <r>
    <s v="Office Relocation"/>
    <s v="Data Migration"/>
    <x v="14"/>
    <s v="High"/>
    <d v="2024-05-05T00:00:00"/>
    <d v="2024-07-22T00:00:00"/>
    <m/>
    <n v="0.61"/>
    <n v="68000"/>
    <n v="40000"/>
    <x v="1"/>
    <n v="28000"/>
    <s v="Within Budget"/>
    <n v="791"/>
  </r>
  <r>
    <s v="Product Launch Q1"/>
    <s v="UI/UX Design"/>
    <x v="0"/>
    <s v="Critical"/>
    <d v="2024-09-19T00:00:00"/>
    <d v="2024-10-19T00:00:00"/>
    <d v="2024-10-27T00:00:00"/>
    <n v="1"/>
    <n v="33000"/>
    <n v="29900"/>
    <x v="0"/>
    <n v="3100"/>
    <s v="Within Budget"/>
    <n v="8"/>
  </r>
  <r>
    <s v="Budget Planning Tool"/>
    <s v="User Acceptance Testing"/>
    <x v="13"/>
    <s v="Medium"/>
    <d v="2025-05-27T00:00:00"/>
    <d v="2025-07-01T00:00:00"/>
    <m/>
    <n v="0.68"/>
    <n v="71000"/>
    <n v="49400"/>
    <x v="4"/>
    <n v="21600"/>
    <s v="Within Budget"/>
    <n v="447"/>
  </r>
  <r>
    <s v="Analytics Dashboard"/>
    <s v="Analytics Integration"/>
    <x v="2"/>
    <s v="High"/>
    <d v="2024-05-18T00:00:00"/>
    <d v="2024-05-27T00:00:00"/>
    <d v="2024-07-05T00:00:00"/>
    <n v="1"/>
    <n v="15000"/>
    <n v="19900"/>
    <x v="0"/>
    <n v="-4900"/>
    <s v="Over Budget"/>
    <n v="39"/>
  </r>
  <r>
    <s v="Annual Report"/>
    <s v="Budget Review"/>
    <x v="5"/>
    <s v="Low"/>
    <d v="2024-03-19T00:00:00"/>
    <d v="2024-04-03T00:00:00"/>
    <d v="2024-04-07T00:00:00"/>
    <n v="1"/>
    <n v="35000"/>
    <n v="44400"/>
    <x v="0"/>
    <n v="-9400"/>
    <s v="Over Budget"/>
    <n v="4"/>
  </r>
  <r>
    <s v="Budget Planning Tool"/>
    <s v="Backup Configuration"/>
    <x v="3"/>
    <s v="High"/>
    <d v="2024-09-05T00:00:00"/>
    <d v="2024-09-21T00:00:00"/>
    <d v="2024-10-01T00:00:00"/>
    <n v="1"/>
    <n v="40000"/>
    <n v="46100"/>
    <x v="0"/>
    <n v="-6100"/>
    <s v="Over Budget"/>
    <n v="10"/>
  </r>
  <r>
    <s v="Product Launch Q2"/>
    <s v="Vendor Evaluation"/>
    <x v="14"/>
    <s v="Medium"/>
    <d v="2024-10-10T00:00:00"/>
    <d v="2024-11-10T00:00:00"/>
    <d v="2024-10-15T00:00:00"/>
    <n v="0.15"/>
    <n v="97000"/>
    <n v="37800"/>
    <x v="2"/>
    <n v="59200"/>
    <s v="Within Budget"/>
    <n v="-26"/>
  </r>
  <r>
    <s v="Inventory System"/>
    <s v="System Configuration"/>
    <x v="13"/>
    <s v="High"/>
    <d v="2025-06-11T00:00:00"/>
    <d v="2025-06-26T00:00:00"/>
    <m/>
    <n v="0"/>
    <n v="35000"/>
    <n v="0"/>
    <x v="3"/>
    <n v="35000"/>
    <s v="Within Budget"/>
    <n v="452"/>
  </r>
  <r>
    <s v="ERP Implementation"/>
    <s v="Accessibility Audit"/>
    <x v="22"/>
    <s v="High"/>
    <d v="2025-02-23T00:00:00"/>
    <d v="2025-03-30T00:00:00"/>
    <m/>
    <n v="0.51"/>
    <n v="64000"/>
    <n v="35800"/>
    <x v="4"/>
    <n v="28200"/>
    <s v="Within Budget"/>
    <n v="540"/>
  </r>
  <r>
    <s v="Website Redesign"/>
    <s v="Sprint Planning"/>
    <x v="5"/>
    <s v="High"/>
    <d v="2025-01-01T00:00:00"/>
    <d v="2025-01-13T00:00:00"/>
    <m/>
    <n v="0.35"/>
    <n v="43000"/>
    <n v="4800"/>
    <x v="5"/>
    <n v="38200"/>
    <s v="Within Budget"/>
    <n v="616"/>
  </r>
  <r>
    <s v="CRM Migration"/>
    <s v="User Acceptance Testing"/>
    <x v="17"/>
    <s v="High"/>
    <d v="2025-06-23T00:00:00"/>
    <d v="2025-07-02T00:00:00"/>
    <m/>
    <n v="0"/>
    <n v="11000"/>
    <n v="0"/>
    <x v="3"/>
    <n v="11000"/>
    <s v="Within Budget"/>
    <n v="446"/>
  </r>
  <r>
    <s v="Analytics Dashboard"/>
    <s v="Technical Architecture"/>
    <x v="23"/>
    <s v="Critical"/>
    <d v="2024-10-25T00:00:00"/>
    <d v="2024-11-17T00:00:00"/>
    <d v="2024-11-22T00:00:00"/>
    <n v="1"/>
    <n v="28000"/>
    <n v="26900"/>
    <x v="0"/>
    <n v="1100"/>
    <s v="Within Budget"/>
    <n v="5"/>
  </r>
  <r>
    <s v="Brand Refresh"/>
    <s v="Optimization"/>
    <x v="10"/>
    <s v="Medium"/>
    <d v="2024-07-25T00:00:00"/>
    <d v="2024-08-05T00:00:00"/>
    <d v="2024-08-05T00:00:00"/>
    <n v="1"/>
    <n v="39000"/>
    <n v="39900"/>
    <x v="0"/>
    <n v="-900"/>
    <s v="Over Budget"/>
    <n v="0"/>
  </r>
  <r>
    <s v="CRM Migration"/>
    <s v="SEO Optimization"/>
    <x v="22"/>
    <s v="Medium"/>
    <d v="2024-11-18T00:00:00"/>
    <d v="2024-12-23T00:00:00"/>
    <d v="2024-11-29T00:00:00"/>
    <n v="0.15"/>
    <n v="88000"/>
    <n v="20800"/>
    <x v="2"/>
    <n v="67200"/>
    <s v="Within Budget"/>
    <n v="-24"/>
  </r>
  <r>
    <s v="Analytics Dashboard"/>
    <s v="Analytics Integration"/>
    <x v="5"/>
    <s v="Critical"/>
    <d v="2025-01-31T00:00:00"/>
    <d v="2025-03-01T00:00:00"/>
    <m/>
    <n v="0.61"/>
    <n v="34000"/>
    <n v="40200"/>
    <x v="1"/>
    <n v="-6200"/>
    <s v="Over Budget"/>
    <n v="569"/>
  </r>
  <r>
    <s v="DevOps Pipeline"/>
    <s v="Requirements Gathering"/>
    <x v="14"/>
    <s v="High"/>
    <d v="2024-12-26T00:00:00"/>
    <d v="2025-01-07T00:00:00"/>
    <d v="2025-02-04T00:00:00"/>
    <n v="1"/>
    <n v="12000"/>
    <n v="12800"/>
    <x v="0"/>
    <n v="-800"/>
    <s v="Over Budget"/>
    <n v="28"/>
  </r>
  <r>
    <s v="Customer Portal"/>
    <s v="Database Design"/>
    <x v="10"/>
    <s v="Medium"/>
    <d v="2024-05-20T00:00:00"/>
    <d v="2024-06-09T00:00:00"/>
    <d v="2024-06-23T00:00:00"/>
    <n v="1"/>
    <n v="33000"/>
    <n v="31500"/>
    <x v="0"/>
    <n v="1500"/>
    <s v="Within Budget"/>
    <n v="14"/>
  </r>
  <r>
    <s v="Budget Planning Tool"/>
    <s v="Technical Architecture"/>
    <x v="19"/>
    <s v="Critical"/>
    <d v="2024-10-19T00:00:00"/>
    <d v="2024-11-21T00:00:00"/>
    <d v="2024-11-21T00:00:00"/>
    <n v="1"/>
    <n v="63000"/>
    <n v="69300"/>
    <x v="0"/>
    <n v="-6300"/>
    <s v="Over Budget"/>
    <n v="0"/>
  </r>
  <r>
    <s v="Marketing Automation"/>
    <s v="Budget Review"/>
    <x v="21"/>
    <s v="Low"/>
    <d v="2024-07-09T00:00:00"/>
    <d v="2024-07-18T00:00:00"/>
    <d v="2024-07-12T00:00:00"/>
    <n v="0.2"/>
    <n v="7000"/>
    <n v="600"/>
    <x v="2"/>
    <n v="6400"/>
    <s v="Within Budget"/>
    <n v="-6"/>
  </r>
  <r>
    <s v="Budget Planning Tool"/>
    <s v="Technical Architecture"/>
    <x v="8"/>
    <s v="Medium"/>
    <d v="2025-02-25T00:00:00"/>
    <d v="2025-03-22T00:00:00"/>
    <m/>
    <n v="0.42"/>
    <n v="40000"/>
    <n v="10600"/>
    <x v="5"/>
    <n v="29400"/>
    <s v="Within Budget"/>
    <n v="548"/>
  </r>
  <r>
    <s v="Social Media Revamp"/>
    <s v="User Training"/>
    <x v="3"/>
    <s v="High"/>
    <d v="2024-04-14T00:00:00"/>
    <d v="2024-04-27T00:00:00"/>
    <d v="2024-05-19T00:00:00"/>
    <n v="1"/>
    <n v="15000"/>
    <n v="20900"/>
    <x v="0"/>
    <n v="-5900"/>
    <s v="Over Budget"/>
    <n v="22"/>
  </r>
  <r>
    <s v="Chatbot Development"/>
    <s v="Quality Assurance"/>
    <x v="9"/>
    <s v="High"/>
    <d v="2024-04-03T00:00:00"/>
    <d v="2024-04-20T00:00:00"/>
    <d v="2024-04-28T00:00:00"/>
    <n v="1"/>
    <n v="21000"/>
    <n v="19200"/>
    <x v="0"/>
    <n v="1800"/>
    <s v="Within Budget"/>
    <n v="8"/>
  </r>
  <r>
    <s v="Inventory System"/>
    <s v="Analytics Integration"/>
    <x v="10"/>
    <s v="Low"/>
    <d v="2024-04-23T00:00:00"/>
    <d v="2024-05-23T00:00:00"/>
    <d v="2024-06-13T00:00:00"/>
    <n v="1"/>
    <n v="17000"/>
    <n v="19800"/>
    <x v="0"/>
    <n v="-2800"/>
    <s v="Over Budget"/>
    <n v="21"/>
  </r>
  <r>
    <s v="Office Relocation"/>
    <s v="Vendor Evaluation"/>
    <x v="18"/>
    <s v="Critical"/>
    <d v="2024-07-11T00:00:00"/>
    <d v="2024-07-24T00:00:00"/>
    <d v="2024-08-12T00:00:00"/>
    <n v="1"/>
    <n v="37000"/>
    <n v="50500"/>
    <x v="0"/>
    <n v="-13500"/>
    <s v="Over Budget"/>
    <n v="19"/>
  </r>
  <r>
    <s v="Analytics Dashboard"/>
    <s v="Requirements Gathering"/>
    <x v="22"/>
    <s v="Medium"/>
    <d v="2024-01-14T00:00:00"/>
    <d v="2024-01-27T00:00:00"/>
    <d v="2024-02-09T00:00:00"/>
    <n v="1"/>
    <n v="26000"/>
    <n v="28200"/>
    <x v="0"/>
    <n v="-2200"/>
    <s v="Over Budget"/>
    <n v="13"/>
  </r>
  <r>
    <s v="Training Platform"/>
    <s v="Stakeholder Interviews"/>
    <x v="20"/>
    <s v="High"/>
    <d v="2024-10-17T00:00:00"/>
    <d v="2024-10-23T00:00:00"/>
    <d v="2024-11-09T00:00:00"/>
    <n v="1"/>
    <n v="8000"/>
    <n v="9300"/>
    <x v="0"/>
    <n v="-1300"/>
    <s v="Over Budget"/>
    <n v="17"/>
  </r>
  <r>
    <s v="Vendor Portal"/>
    <s v="Risk Assessment"/>
    <x v="18"/>
    <s v="Low"/>
    <d v="2025-04-06T00:00:00"/>
    <d v="2025-05-01T00:00:00"/>
    <m/>
    <n v="0"/>
    <n v="41000"/>
    <n v="0"/>
    <x v="3"/>
    <n v="41000"/>
    <s v="Within Budget"/>
    <n v="508"/>
  </r>
  <r>
    <s v="Email Platform Migration"/>
    <s v="Sprint Planning"/>
    <x v="15"/>
    <s v="Low"/>
    <d v="2025-01-16T00:00:00"/>
    <d v="2025-01-30T00:00:00"/>
    <m/>
    <n v="0.76"/>
    <n v="46000"/>
    <n v="41100"/>
    <x v="4"/>
    <n v="4900"/>
    <s v="Within Budget"/>
    <n v="599"/>
  </r>
  <r>
    <s v="Inventory System"/>
    <s v="Code Review"/>
    <x v="1"/>
    <s v="Medium"/>
    <d v="2025-05-23T00:00:00"/>
    <d v="2025-06-26T00:00:00"/>
    <m/>
    <n v="0"/>
    <n v="87000"/>
    <n v="0"/>
    <x v="3"/>
    <n v="87000"/>
    <s v="Within Budget"/>
    <n v="452"/>
  </r>
  <r>
    <s v="Inventory System"/>
    <s v="Compliance Check"/>
    <x v="24"/>
    <s v="Critical"/>
    <d v="2024-01-28T00:00:00"/>
    <d v="2024-02-15T00:00:00"/>
    <d v="2024-01-30T00:00:00"/>
    <n v="0.1"/>
    <n v="40000"/>
    <n v="3000"/>
    <x v="2"/>
    <n v="37000"/>
    <s v="Within Budget"/>
    <n v="-16"/>
  </r>
  <r>
    <s v="Social Media Revamp"/>
    <s v="Performance Testing"/>
    <x v="16"/>
    <s v="High"/>
    <d v="2025-02-02T00:00:00"/>
    <d v="2025-02-20T00:00:00"/>
    <m/>
    <n v="0.28000000000000003"/>
    <n v="46000"/>
    <n v="39800"/>
    <x v="1"/>
    <n v="6200"/>
    <s v="Within Budget"/>
    <n v="578"/>
  </r>
  <r>
    <s v="DevOps Pipeline"/>
    <s v="Backup Configuration"/>
    <x v="11"/>
    <s v="Low"/>
    <d v="2025-06-22T00:00:00"/>
    <d v="2025-07-27T00:00:00"/>
    <m/>
    <n v="0"/>
    <n v="96000"/>
    <n v="0"/>
    <x v="3"/>
    <n v="96000"/>
    <s v="Within Budget"/>
    <n v="421"/>
  </r>
  <r>
    <s v="Chatbot Development"/>
    <s v="Optimization"/>
    <x v="7"/>
    <s v="Low"/>
    <d v="2024-08-24T00:00:00"/>
    <d v="2024-09-14T00:00:00"/>
    <d v="2024-09-14T00:00:00"/>
    <n v="1"/>
    <n v="40000"/>
    <n v="52400"/>
    <x v="0"/>
    <n v="-12400"/>
    <s v="Over Budget"/>
    <n v="0"/>
  </r>
  <r>
    <s v="Office Relocation"/>
    <s v="Go-Live Preparation"/>
    <x v="5"/>
    <s v="High"/>
    <d v="2025-06-20T00:00:00"/>
    <d v="2025-07-25T00:00:00"/>
    <m/>
    <n v="0"/>
    <n v="67000"/>
    <n v="0"/>
    <x v="3"/>
    <n v="67000"/>
    <s v="Within Budget"/>
    <n v="423"/>
  </r>
  <r>
    <s v="Training Platform"/>
    <s v="Infrastructure Setup"/>
    <x v="9"/>
    <s v="Medium"/>
    <d v="2024-10-18T00:00:00"/>
    <d v="2024-10-29T00:00:00"/>
    <m/>
    <n v="0.56999999999999995"/>
    <n v="17000"/>
    <n v="11300"/>
    <x v="1"/>
    <n v="5700"/>
    <s v="Within Budget"/>
    <n v="692"/>
  </r>
  <r>
    <s v="Onboarding Automation"/>
    <s v="Post-Launch Review"/>
    <x v="14"/>
    <s v="Medium"/>
    <d v="2024-07-06T00:00:00"/>
    <d v="2024-08-06T00:00:00"/>
    <d v="2024-09-03T00:00:00"/>
    <n v="1"/>
    <n v="47000"/>
    <n v="54700"/>
    <x v="0"/>
    <n v="-7700"/>
    <s v="Over Budget"/>
    <n v="28"/>
  </r>
  <r>
    <s v="Customer Portal"/>
    <s v="Post-Launch Review"/>
    <x v="12"/>
    <s v="Low"/>
    <d v="2024-05-04T00:00:00"/>
    <d v="2024-05-22T00:00:00"/>
    <d v="2024-07-05T00:00:00"/>
    <n v="1"/>
    <n v="22000"/>
    <n v="20800"/>
    <x v="0"/>
    <n v="1200"/>
    <s v="Within Budget"/>
    <n v="44"/>
  </r>
  <r>
    <s v="Website Redesign"/>
    <s v="Retrospective"/>
    <x v="2"/>
    <s v="High"/>
    <d v="2024-01-28T00:00:00"/>
    <d v="2024-02-05T00:00:00"/>
    <d v="2024-02-05T00:00:00"/>
    <n v="1"/>
    <n v="7000"/>
    <n v="8700"/>
    <x v="0"/>
    <n v="-1700"/>
    <s v="Over Budget"/>
    <n v="0"/>
  </r>
  <r>
    <s v="Office Relocation"/>
    <s v="Performance Testing"/>
    <x v="19"/>
    <s v="High"/>
    <d v="2024-06-30T00:00:00"/>
    <d v="2024-07-11T00:00:00"/>
    <m/>
    <n v="0.85"/>
    <n v="47000"/>
    <n v="50200"/>
    <x v="1"/>
    <n v="-3200"/>
    <s v="Over Budget"/>
    <n v="802"/>
  </r>
  <r>
    <s v="Office Relocation"/>
    <s v="Go-Live Preparation"/>
    <x v="9"/>
    <s v="High"/>
    <d v="2024-06-06T00:00:00"/>
    <d v="2024-07-10T00:00:00"/>
    <d v="2024-06-22T00:00:00"/>
    <n v="0.2"/>
    <n v="78000"/>
    <n v="30500"/>
    <x v="2"/>
    <n v="47500"/>
    <s v="Within Budget"/>
    <n v="-18"/>
  </r>
  <r>
    <s v="Onboarding Automation"/>
    <s v="Sprint Planning"/>
    <x v="4"/>
    <s v="High"/>
    <d v="2025-01-01T00:00:00"/>
    <d v="2025-01-10T00:00:00"/>
    <m/>
    <n v="0.7"/>
    <n v="12000"/>
    <n v="9800"/>
    <x v="1"/>
    <n v="2200"/>
    <s v="Within Budget"/>
    <n v="619"/>
  </r>
  <r>
    <s v="Payment Integration"/>
    <s v="Security Review"/>
    <x v="3"/>
    <s v="High"/>
    <d v="2024-02-07T00:00:00"/>
    <d v="2024-03-03T00:00:00"/>
    <d v="2024-03-06T00:00:00"/>
    <n v="1"/>
    <n v="35000"/>
    <n v="38500"/>
    <x v="0"/>
    <n v="-3500"/>
    <s v="Over Budget"/>
    <n v="3"/>
  </r>
  <r>
    <s v="API Gateway"/>
    <s v="User Acceptance Testing"/>
    <x v="18"/>
    <s v="Medium"/>
    <d v="2025-03-01T00:00:00"/>
    <d v="2025-03-26T00:00:00"/>
    <m/>
    <n v="0.33"/>
    <n v="39000"/>
    <n v="10800"/>
    <x v="5"/>
    <n v="28200"/>
    <s v="Within Budget"/>
    <n v="544"/>
  </r>
  <r>
    <s v="DevOps Pipeline"/>
    <s v="Backup Configuration"/>
    <x v="3"/>
    <s v="Medium"/>
    <d v="2024-08-10T00:00:00"/>
    <d v="2024-08-22T00:00:00"/>
    <d v="2024-09-02T00:00:00"/>
    <n v="1"/>
    <n v="31000"/>
    <n v="37300"/>
    <x v="0"/>
    <n v="-6300"/>
    <s v="Over Budget"/>
    <n v="11"/>
  </r>
  <r>
    <s v="Website Redesign"/>
    <s v="Bug Fixes"/>
    <x v="9"/>
    <s v="Medium"/>
    <d v="2024-02-24T00:00:00"/>
    <d v="2024-03-22T00:00:00"/>
    <d v="2024-03-23T00:00:00"/>
    <n v="1"/>
    <n v="13000"/>
    <n v="13100"/>
    <x v="0"/>
    <n v="-100"/>
    <s v="Over Budget"/>
    <n v="1"/>
  </r>
  <r>
    <s v="Cloud Infrastructure"/>
    <s v="Documentation"/>
    <x v="19"/>
    <s v="High"/>
    <d v="2024-08-02T00:00:00"/>
    <d v="2024-08-23T00:00:00"/>
    <d v="2024-08-08T00:00:00"/>
    <n v="0.15"/>
    <n v="27000"/>
    <n v="3700"/>
    <x v="2"/>
    <n v="23300"/>
    <s v="Within Budget"/>
    <n v="-15"/>
  </r>
  <r>
    <s v="Budget Planning Tool"/>
    <s v="Deployment Planning"/>
    <x v="9"/>
    <s v="Critical"/>
    <d v="2024-10-12T00:00:00"/>
    <d v="2024-11-10T00:00:00"/>
    <d v="2024-11-24T00:00:00"/>
    <n v="1"/>
    <n v="44000"/>
    <n v="41800"/>
    <x v="0"/>
    <n v="2200"/>
    <s v="Within Budget"/>
    <n v="14"/>
  </r>
  <r>
    <s v="Data Warehouse Build"/>
    <s v="API Development"/>
    <x v="24"/>
    <s v="Critical"/>
    <d v="2024-05-25T00:00:00"/>
    <d v="2024-06-09T00:00:00"/>
    <d v="2024-06-01T00:00:00"/>
    <n v="1"/>
    <n v="41000"/>
    <n v="35600"/>
    <x v="0"/>
    <n v="5400"/>
    <s v="Within Budget"/>
    <n v="-8"/>
  </r>
  <r>
    <s v="API Gateway"/>
    <s v="Analytics Integration"/>
    <x v="23"/>
    <s v="Low"/>
    <d v="2025-04-23T00:00:00"/>
    <d v="2025-05-22T00:00:00"/>
    <m/>
    <n v="0"/>
    <n v="13000"/>
    <n v="0"/>
    <x v="3"/>
    <n v="13000"/>
    <s v="Within Budget"/>
    <n v="487"/>
  </r>
  <r>
    <s v="Marketing Automation"/>
    <s v="Post-Launch Review"/>
    <x v="18"/>
    <s v="Medium"/>
    <d v="2025-01-17T00:00:00"/>
    <d v="2025-01-28T00:00:00"/>
    <m/>
    <n v="0.4"/>
    <n v="33000"/>
    <n v="33100"/>
    <x v="1"/>
    <n v="-100"/>
    <s v="Over Budget"/>
    <n v="601"/>
  </r>
  <r>
    <s v="Product Launch Q1"/>
    <s v="Optimization"/>
    <x v="5"/>
    <s v="High"/>
    <d v="2025-01-04T00:00:00"/>
    <d v="2025-01-27T00:00:00"/>
    <m/>
    <n v="0.85"/>
    <n v="15000"/>
    <n v="11700"/>
    <x v="4"/>
    <n v="3300"/>
    <s v="Within Budget"/>
    <n v="602"/>
  </r>
  <r>
    <s v="Data Warehouse Build"/>
    <s v="Budget Review"/>
    <x v="23"/>
    <s v="Low"/>
    <d v="2025-03-29T00:00:00"/>
    <d v="2025-04-08T00:00:00"/>
    <m/>
    <n v="0.34"/>
    <n v="8000"/>
    <n v="3300"/>
    <x v="4"/>
    <n v="4700"/>
    <s v="Within Budget"/>
    <n v="531"/>
  </r>
  <r>
    <s v="Brand Refresh"/>
    <s v="Iteration Planning"/>
    <x v="8"/>
    <s v="Low"/>
    <d v="2025-03-15T00:00:00"/>
    <d v="2025-04-18T00:00:00"/>
    <m/>
    <n v="0.17"/>
    <n v="96000"/>
    <n v="15400"/>
    <x v="4"/>
    <n v="80600"/>
    <s v="Within Budget"/>
    <n v="521"/>
  </r>
  <r>
    <s v="Brand Refresh"/>
    <s v="Status Reporting"/>
    <x v="9"/>
    <s v="Medium"/>
    <d v="2024-10-23T00:00:00"/>
    <d v="2024-11-16T00:00:00"/>
    <d v="2024-11-10T00:00:00"/>
    <n v="1"/>
    <n v="33000"/>
    <n v="39700"/>
    <x v="0"/>
    <n v="-6700"/>
    <s v="Over Budget"/>
    <n v="-6"/>
  </r>
  <r>
    <s v="Cloud Infrastructure"/>
    <s v="Infrastructure Setup"/>
    <x v="11"/>
    <s v="Low"/>
    <d v="2025-03-22T00:00:00"/>
    <d v="2025-03-30T00:00:00"/>
    <m/>
    <n v="0"/>
    <n v="14000"/>
    <n v="0"/>
    <x v="3"/>
    <n v="14000"/>
    <s v="Within Budget"/>
    <n v="540"/>
  </r>
  <r>
    <s v="CRM Migration"/>
    <s v="Stakeholder Interviews"/>
    <x v="22"/>
    <s v="Medium"/>
    <d v="2025-05-13T00:00:00"/>
    <d v="2025-05-21T00:00:00"/>
    <m/>
    <n v="0"/>
    <n v="9000"/>
    <n v="0"/>
    <x v="3"/>
    <n v="9000"/>
    <s v="Within Budget"/>
    <n v="488"/>
  </r>
  <r>
    <s v="Brand Refresh"/>
    <s v="Deployment Planning"/>
    <x v="7"/>
    <s v="High"/>
    <d v="2024-12-05T00:00:00"/>
    <d v="2025-01-06T00:00:00"/>
    <d v="2025-02-10T00:00:00"/>
    <n v="1"/>
    <n v="30000"/>
    <n v="36900"/>
    <x v="0"/>
    <n v="-6900"/>
    <s v="Over Budget"/>
    <n v="35"/>
  </r>
  <r>
    <s v="Email Platform Migration"/>
    <s v="Performance Testing"/>
    <x v="9"/>
    <s v="High"/>
    <d v="2025-02-25T00:00:00"/>
    <d v="2025-03-12T00:00:00"/>
    <m/>
    <n v="0.25"/>
    <n v="13000"/>
    <n v="1500"/>
    <x v="5"/>
    <n v="11500"/>
    <s v="Within Budget"/>
    <n v="558"/>
  </r>
  <r>
    <s v="Budget Planning Tool"/>
    <s v="API Development"/>
    <x v="18"/>
    <s v="Low"/>
    <d v="2024-07-07T00:00:00"/>
    <d v="2024-08-11T00:00:00"/>
    <d v="2024-07-11T00:00:00"/>
    <n v="0.15"/>
    <n v="40000"/>
    <n v="5100"/>
    <x v="2"/>
    <n v="34900"/>
    <s v="Within Budget"/>
    <n v="-31"/>
  </r>
  <r>
    <s v="API Gateway"/>
    <s v="Documentation"/>
    <x v="16"/>
    <s v="Critical"/>
    <d v="2024-03-07T00:00:00"/>
    <d v="2024-03-14T00:00:00"/>
    <d v="2024-03-11T00:00:00"/>
    <n v="1"/>
    <n v="6000"/>
    <n v="6100"/>
    <x v="0"/>
    <n v="-100"/>
    <s v="Over Budget"/>
    <n v="-3"/>
  </r>
  <r>
    <s v="Inventory System"/>
    <s v="Communication Plan"/>
    <x v="7"/>
    <s v="Critical"/>
    <d v="2025-01-07T00:00:00"/>
    <d v="2025-01-23T00:00:00"/>
    <m/>
    <n v="0.41"/>
    <n v="25000"/>
    <n v="8300"/>
    <x v="5"/>
    <n v="16700"/>
    <s v="Within Budget"/>
    <n v="606"/>
  </r>
  <r>
    <s v="Mobile App Launch"/>
    <s v="Database Design"/>
    <x v="14"/>
    <s v="Critical"/>
    <d v="2024-02-18T00:00:00"/>
    <d v="2024-03-09T00:00:00"/>
    <d v="2024-03-27T00:00:00"/>
    <n v="1"/>
    <n v="36000"/>
    <n v="49600"/>
    <x v="0"/>
    <n v="-13600"/>
    <s v="Over Budget"/>
    <n v="18"/>
  </r>
  <r>
    <s v="Annual Report"/>
    <s v="Database Design"/>
    <x v="24"/>
    <s v="High"/>
    <d v="2025-02-13T00:00:00"/>
    <d v="2025-03-24T00:00:00"/>
    <m/>
    <n v="0.37"/>
    <n v="35000"/>
    <n v="8500"/>
    <x v="5"/>
    <n v="26500"/>
    <s v="Within Budget"/>
    <n v="546"/>
  </r>
  <r>
    <s v="Vendor Portal"/>
    <s v="User Training"/>
    <x v="13"/>
    <s v="High"/>
    <d v="2024-07-27T00:00:00"/>
    <d v="2024-08-20T00:00:00"/>
    <m/>
    <n v="0.67"/>
    <n v="17000"/>
    <n v="12000"/>
    <x v="1"/>
    <n v="5000"/>
    <s v="Within Budget"/>
    <n v="762"/>
  </r>
  <r>
    <s v="DevOps Pipeline"/>
    <s v="Iteration Planning"/>
    <x v="13"/>
    <s v="Medium"/>
    <d v="2024-03-02T00:00:00"/>
    <d v="2024-03-31T00:00:00"/>
    <d v="2024-04-18T00:00:00"/>
    <n v="1"/>
    <n v="48000"/>
    <n v="49100"/>
    <x v="0"/>
    <n v="-1100"/>
    <s v="Over Budget"/>
    <n v="18"/>
  </r>
  <r>
    <s v="DevOps Pipeline"/>
    <s v="Analytics Integration"/>
    <x v="4"/>
    <s v="High"/>
    <d v="2024-09-25T00:00:00"/>
    <d v="2024-10-09T00:00:00"/>
    <d v="2024-09-29T00:00:00"/>
    <n v="1"/>
    <n v="19000"/>
    <n v="23200"/>
    <x v="0"/>
    <n v="-4200"/>
    <s v="Over Budget"/>
    <n v="-10"/>
  </r>
  <r>
    <s v="HR System Upgrade"/>
    <s v="Unit Testing"/>
    <x v="20"/>
    <s v="Low"/>
    <d v="2024-02-03T00:00:00"/>
    <d v="2024-02-22T00:00:00"/>
    <m/>
    <n v="0.69"/>
    <n v="34000"/>
    <n v="21300"/>
    <x v="1"/>
    <n v="12700"/>
    <s v="Within Budget"/>
    <n v="942"/>
  </r>
  <r>
    <s v="Email Platform Migration"/>
    <s v="Go-Live Preparation"/>
    <x v="17"/>
    <s v="Low"/>
    <d v="2024-05-30T00:00:00"/>
    <d v="2024-06-27T00:00:00"/>
    <d v="2024-06-30T00:00:00"/>
    <n v="1"/>
    <n v="31000"/>
    <n v="35400"/>
    <x v="0"/>
    <n v="-4400"/>
    <s v="Over Budget"/>
    <n v="3"/>
  </r>
  <r>
    <s v="Performance Review System"/>
    <s v="Communication Plan"/>
    <x v="22"/>
    <s v="High"/>
    <d v="2024-07-31T00:00:00"/>
    <d v="2024-08-26T00:00:00"/>
    <d v="2024-08-30T00:00:00"/>
    <n v="1"/>
    <n v="39000"/>
    <n v="36600"/>
    <x v="0"/>
    <n v="2400"/>
    <s v="Within Budget"/>
    <n v="4"/>
  </r>
  <r>
    <s v="Product Launch Q1"/>
    <s v="Sprint Planning"/>
    <x v="9"/>
    <s v="Low"/>
    <d v="2024-07-27T00:00:00"/>
    <d v="2024-08-03T00:00:00"/>
    <d v="2024-08-05T00:00:00"/>
    <n v="1"/>
    <n v="12000"/>
    <n v="15200"/>
    <x v="0"/>
    <n v="-3200"/>
    <s v="Over Budget"/>
    <n v="2"/>
  </r>
  <r>
    <s v="Office Relocation"/>
    <s v="Market Research"/>
    <x v="17"/>
    <s v="High"/>
    <d v="2025-02-13T00:00:00"/>
    <d v="2025-02-25T00:00:00"/>
    <d v="2025-03-13T00:00:00"/>
    <n v="1"/>
    <n v="44000"/>
    <n v="43300"/>
    <x v="0"/>
    <n v="700"/>
    <s v="Within Budget"/>
    <n v="16"/>
  </r>
  <r>
    <s v="Onboarding Automation"/>
    <s v="Quality Assurance"/>
    <x v="9"/>
    <s v="Medium"/>
    <d v="2024-11-29T00:00:00"/>
    <d v="2024-12-14T00:00:00"/>
    <d v="2024-12-08T00:00:00"/>
    <n v="1"/>
    <n v="35000"/>
    <n v="32300"/>
    <x v="0"/>
    <n v="2700"/>
    <s v="Within Budget"/>
    <n v="-6"/>
  </r>
  <r>
    <s v="Vendor Portal"/>
    <s v="Optimization"/>
    <x v="19"/>
    <s v="Medium"/>
    <d v="2025-03-27T00:00:00"/>
    <d v="2025-04-19T00:00:00"/>
    <m/>
    <n v="0"/>
    <n v="39000"/>
    <n v="0"/>
    <x v="3"/>
    <n v="39000"/>
    <s v="Within Budget"/>
    <n v="520"/>
  </r>
  <r>
    <s v="Data Warehouse Build"/>
    <s v="Risk Assessment"/>
    <x v="8"/>
    <s v="Medium"/>
    <d v="2024-01-05T00:00:00"/>
    <d v="2024-01-17T00:00:00"/>
    <d v="2024-02-03T00:00:00"/>
    <n v="1"/>
    <n v="15000"/>
    <n v="19300"/>
    <x v="0"/>
    <n v="-4300"/>
    <s v="Over Budget"/>
    <n v="17"/>
  </r>
  <r>
    <s v="Payment Integration"/>
    <s v="Post-Launch Review"/>
    <x v="24"/>
    <s v="High"/>
    <d v="2024-01-09T00:00:00"/>
    <d v="2024-01-26T00:00:00"/>
    <d v="2024-02-25T00:00:00"/>
    <n v="1"/>
    <n v="15000"/>
    <n v="16700"/>
    <x v="0"/>
    <n v="-1700"/>
    <s v="Over Budget"/>
    <n v="30"/>
  </r>
  <r>
    <s v="Security Audit"/>
    <s v="Change Management"/>
    <x v="9"/>
    <s v="Low"/>
    <d v="2024-02-11T00:00:00"/>
    <d v="2024-03-14T00:00:00"/>
    <d v="2024-02-26T00:00:00"/>
    <n v="0.15"/>
    <n v="36000"/>
    <n v="8000"/>
    <x v="2"/>
    <n v="28000"/>
    <s v="Within Budget"/>
    <n v="-17"/>
  </r>
  <r>
    <s v="Budget Planning Tool"/>
    <s v="User Acceptance Testing"/>
    <x v="22"/>
    <s v="Low"/>
    <d v="2024-03-08T00:00:00"/>
    <d v="2024-04-06T00:00:00"/>
    <d v="2024-04-09T00:00:00"/>
    <n v="1"/>
    <n v="50000"/>
    <n v="58500"/>
    <x v="0"/>
    <n v="-8500"/>
    <s v="Over Budget"/>
    <n v="3"/>
  </r>
  <r>
    <s v="Social Media Revamp"/>
    <s v="Status Reporting"/>
    <x v="11"/>
    <s v="Medium"/>
    <d v="2024-12-26T00:00:00"/>
    <d v="2025-01-17T00:00:00"/>
    <m/>
    <n v="0.74"/>
    <n v="46000"/>
    <n v="37300"/>
    <x v="1"/>
    <n v="8700"/>
    <s v="Within Budget"/>
    <n v="612"/>
  </r>
  <r>
    <s v="ERP Implementation"/>
    <s v="Vendor Evaluation"/>
    <x v="16"/>
    <s v="Medium"/>
    <d v="2024-02-26T00:00:00"/>
    <d v="2024-03-18T00:00:00"/>
    <d v="2024-04-28T00:00:00"/>
    <n v="1"/>
    <n v="40000"/>
    <n v="49400"/>
    <x v="0"/>
    <n v="-9400"/>
    <s v="Over Budget"/>
    <n v="41"/>
  </r>
  <r>
    <s v="Data Warehouse Build"/>
    <s v="Accessibility Audit"/>
    <x v="7"/>
    <s v="Medium"/>
    <d v="2024-02-04T00:00:00"/>
    <d v="2024-02-17T00:00:00"/>
    <d v="2024-02-18T00:00:00"/>
    <n v="1"/>
    <n v="49000"/>
    <n v="54500"/>
    <x v="0"/>
    <n v="-5500"/>
    <s v="Over Budget"/>
    <n v="1"/>
  </r>
  <r>
    <s v="Compliance Overhaul"/>
    <s v="Database Design"/>
    <x v="9"/>
    <s v="Medium"/>
    <d v="2024-06-03T00:00:00"/>
    <d v="2024-07-06T00:00:00"/>
    <d v="2024-07-21T00:00:00"/>
    <n v="1"/>
    <n v="79000"/>
    <n v="77000"/>
    <x v="0"/>
    <n v="2000"/>
    <s v="Within Budget"/>
    <n v="15"/>
  </r>
  <r>
    <s v="ERP Implementation"/>
    <s v="Technical Architecture"/>
    <x v="2"/>
    <s v="Low"/>
    <d v="2024-01-05T00:00:00"/>
    <d v="2024-01-27T00:00:00"/>
    <d v="2024-01-14T00:00:00"/>
    <n v="0.3"/>
    <n v="27000"/>
    <n v="3400"/>
    <x v="2"/>
    <n v="23600"/>
    <s v="Within Budget"/>
    <n v="-13"/>
  </r>
  <r>
    <s v="Website Redesign"/>
    <s v="Competitive Analysis"/>
    <x v="17"/>
    <s v="Low"/>
    <d v="2024-01-28T00:00:00"/>
    <d v="2024-02-11T00:00:00"/>
    <d v="2024-02-23T00:00:00"/>
    <n v="1"/>
    <n v="42000"/>
    <n v="47800"/>
    <x v="0"/>
    <n v="-5800"/>
    <s v="Over Budget"/>
    <n v="12"/>
  </r>
  <r>
    <s v="Website Redesign"/>
    <s v="UI/UX Design"/>
    <x v="23"/>
    <s v="Critical"/>
    <d v="2024-06-04T00:00:00"/>
    <d v="2024-06-21T00:00:00"/>
    <d v="2024-06-21T00:00:00"/>
    <n v="1"/>
    <n v="27000"/>
    <n v="36700"/>
    <x v="0"/>
    <n v="-9700"/>
    <s v="Over Budget"/>
    <n v="0"/>
  </r>
  <r>
    <s v="Supply Chain Optimization"/>
    <s v="A/B Testing Setup"/>
    <x v="23"/>
    <s v="Medium"/>
    <d v="2024-12-02T00:00:00"/>
    <d v="2024-12-24T00:00:00"/>
    <m/>
    <n v="0.69"/>
    <n v="27000"/>
    <n v="34600"/>
    <x v="1"/>
    <n v="-7600"/>
    <s v="Over Budget"/>
    <n v="636"/>
  </r>
  <r>
    <s v="Payment Integration"/>
    <s v="Security Review"/>
    <x v="14"/>
    <s v="High"/>
    <d v="2024-08-20T00:00:00"/>
    <d v="2024-09-19T00:00:00"/>
    <m/>
    <n v="0.79"/>
    <n v="10000"/>
    <n v="12100"/>
    <x v="1"/>
    <n v="-2100"/>
    <s v="Over Budget"/>
    <n v="732"/>
  </r>
  <r>
    <s v="Performance Review System"/>
    <s v="Code Review"/>
    <x v="15"/>
    <s v="Medium"/>
    <d v="2025-05-07T00:00:00"/>
    <d v="2025-06-10T00:00:00"/>
    <m/>
    <n v="0.4"/>
    <n v="90000"/>
    <n v="36700"/>
    <x v="4"/>
    <n v="53300"/>
    <s v="Within Budget"/>
    <n v="468"/>
  </r>
  <r>
    <s v="Supply Chain Optimization"/>
    <s v="Status Reporting"/>
    <x v="17"/>
    <s v="Low"/>
    <d v="2024-04-26T00:00:00"/>
    <d v="2024-05-05T00:00:00"/>
    <m/>
    <n v="0.42"/>
    <n v="8000"/>
    <n v="4300"/>
    <x v="1"/>
    <n v="3700"/>
    <s v="Within Budget"/>
    <n v="869"/>
  </r>
  <r>
    <s v="Training Platform"/>
    <s v="Integration Testing"/>
    <x v="23"/>
    <s v="Medium"/>
    <d v="2024-03-17T00:00:00"/>
    <d v="2024-04-12T00:00:00"/>
    <d v="2024-04-14T00:00:00"/>
    <n v="1"/>
    <n v="34000"/>
    <n v="39700"/>
    <x v="0"/>
    <n v="-5700"/>
    <s v="Over Budget"/>
    <n v="2"/>
  </r>
  <r>
    <s v="Marketing Automation"/>
    <s v="Database Design"/>
    <x v="9"/>
    <s v="High"/>
    <d v="2024-04-21T00:00:00"/>
    <d v="2024-05-08T00:00:00"/>
    <d v="2024-06-16T00:00:00"/>
    <n v="1"/>
    <n v="39000"/>
    <n v="42000"/>
    <x v="0"/>
    <n v="-3000"/>
    <s v="Over Budget"/>
    <n v="39"/>
  </r>
  <r>
    <s v="Office Relocation"/>
    <s v="Asset Design"/>
    <x v="3"/>
    <s v="Medium"/>
    <d v="2024-11-15T00:00:00"/>
    <d v="2024-12-07T00:00:00"/>
    <d v="2024-12-19T00:00:00"/>
    <n v="1"/>
    <n v="44000"/>
    <n v="54200"/>
    <x v="0"/>
    <n v="-10200"/>
    <s v="Over Budget"/>
    <n v="12"/>
  </r>
  <r>
    <s v="Cloud Infrastructure"/>
    <s v="Requirements Gathering"/>
    <x v="23"/>
    <s v="Medium"/>
    <d v="2025-01-06T00:00:00"/>
    <d v="2025-01-18T00:00:00"/>
    <d v="2025-02-04T00:00:00"/>
    <n v="1"/>
    <n v="26000"/>
    <n v="33700"/>
    <x v="0"/>
    <n v="-7700"/>
    <s v="Over Budget"/>
    <n v="17"/>
  </r>
  <r>
    <s v="Product Launch Q1"/>
    <s v="Budget Review"/>
    <x v="0"/>
    <s v="Medium"/>
    <d v="2025-04-24T00:00:00"/>
    <d v="2025-05-04T00:00:00"/>
    <m/>
    <n v="0.28999999999999998"/>
    <n v="6000"/>
    <n v="1900"/>
    <x v="4"/>
    <n v="4100"/>
    <s v="Within Budget"/>
    <n v="505"/>
  </r>
  <r>
    <s v="Data Warehouse Build"/>
    <s v="Competitive Analysis"/>
    <x v="3"/>
    <s v="High"/>
    <d v="2024-01-13T00:00:00"/>
    <d v="2024-01-21T00:00:00"/>
    <d v="2024-01-16T00:00:00"/>
    <n v="0"/>
    <n v="13000"/>
    <n v="3000"/>
    <x v="2"/>
    <n v="10000"/>
    <s v="Within Budget"/>
    <n v="-5"/>
  </r>
  <r>
    <s v="Email Platform Migration"/>
    <s v="Database Design"/>
    <x v="11"/>
    <s v="Medium"/>
    <d v="2024-07-30T00:00:00"/>
    <d v="2024-08-23T00:00:00"/>
    <d v="2024-08-26T00:00:00"/>
    <n v="1"/>
    <n v="49000"/>
    <n v="56800"/>
    <x v="0"/>
    <n v="-7800"/>
    <s v="Over Budget"/>
    <n v="3"/>
  </r>
  <r>
    <s v="Social Media Revamp"/>
    <s v="UI/UX Design"/>
    <x v="6"/>
    <s v="Medium"/>
    <d v="2024-08-10T00:00:00"/>
    <d v="2024-09-13T00:00:00"/>
    <m/>
    <n v="0.85"/>
    <n v="44000"/>
    <n v="52900"/>
    <x v="1"/>
    <n v="-8900"/>
    <s v="Over Budget"/>
    <n v="738"/>
  </r>
  <r>
    <s v="Compliance Overhaul"/>
    <s v="Feedback Collection"/>
    <x v="22"/>
    <s v="Medium"/>
    <d v="2025-06-08T00:00:00"/>
    <d v="2025-07-01T00:00:00"/>
    <m/>
    <n v="0.67"/>
    <n v="43000"/>
    <n v="30900"/>
    <x v="4"/>
    <n v="12100"/>
    <s v="Within Budget"/>
    <n v="447"/>
  </r>
  <r>
    <s v="Onboarding Automation"/>
    <s v="Bug Fixes"/>
    <x v="17"/>
    <s v="Medium"/>
    <d v="2025-02-17T00:00:00"/>
    <d v="2025-02-27T00:00:00"/>
    <d v="2025-03-02T00:00:00"/>
    <n v="1"/>
    <n v="8000"/>
    <n v="7200"/>
    <x v="0"/>
    <n v="800"/>
    <s v="Within Budget"/>
    <n v="3"/>
  </r>
  <r>
    <s v="Supply Chain Optimization"/>
    <s v="Stakeholder Interviews"/>
    <x v="6"/>
    <s v="Low"/>
    <d v="2024-12-09T00:00:00"/>
    <d v="2024-12-21T00:00:00"/>
    <d v="2025-02-03T00:00:00"/>
    <n v="1"/>
    <n v="27000"/>
    <n v="24200"/>
    <x v="0"/>
    <n v="2800"/>
    <s v="Within Budget"/>
    <n v="44"/>
  </r>
  <r>
    <s v="CRM Migration"/>
    <s v="Security Review"/>
    <x v="18"/>
    <s v="High"/>
    <d v="2025-05-09T00:00:00"/>
    <d v="2025-05-23T00:00:00"/>
    <m/>
    <n v="0"/>
    <n v="47000"/>
    <n v="0"/>
    <x v="3"/>
    <n v="47000"/>
    <s v="Within Budget"/>
    <n v="486"/>
  </r>
  <r>
    <s v="Cloud Infrastructure"/>
    <s v="UI/UX Design"/>
    <x v="24"/>
    <s v="Medium"/>
    <d v="2025-04-29T00:00:00"/>
    <d v="2025-05-25T00:00:00"/>
    <m/>
    <n v="0"/>
    <n v="39000"/>
    <n v="0"/>
    <x v="3"/>
    <n v="39000"/>
    <s v="Within Budget"/>
    <n v="484"/>
  </r>
  <r>
    <s v="Website Redesign"/>
    <s v="Contract Negotiation"/>
    <x v="11"/>
    <s v="Low"/>
    <d v="2024-05-11T00:00:00"/>
    <d v="2024-06-01T00:00:00"/>
    <d v="2024-06-19T00:00:00"/>
    <n v="1"/>
    <n v="46000"/>
    <n v="44900"/>
    <x v="0"/>
    <n v="1100"/>
    <s v="Within Budget"/>
    <n v="18"/>
  </r>
  <r>
    <s v="Onboarding Automation"/>
    <s v="User Acceptance Testing"/>
    <x v="22"/>
    <s v="Medium"/>
    <d v="2024-11-27T00:00:00"/>
    <d v="2024-12-06T00:00:00"/>
    <m/>
    <n v="0.79"/>
    <n v="4000"/>
    <n v="2100"/>
    <x v="1"/>
    <n v="1900"/>
    <s v="Within Budget"/>
    <n v="654"/>
  </r>
  <r>
    <s v="Vendor Portal"/>
    <s v="Go-Live Preparation"/>
    <x v="5"/>
    <s v="High"/>
    <d v="2024-12-28T00:00:00"/>
    <d v="2025-01-28T00:00:00"/>
    <m/>
    <n v="0.54"/>
    <n v="97000"/>
    <n v="91300"/>
    <x v="1"/>
    <n v="5700"/>
    <s v="Within Budget"/>
    <n v="601"/>
  </r>
  <r>
    <s v="Inventory System"/>
    <s v="Post-Launch Review"/>
    <x v="13"/>
    <s v="Medium"/>
    <d v="2024-08-28T00:00:00"/>
    <d v="2024-09-12T00:00:00"/>
    <d v="2024-08-31T00:00:00"/>
    <n v="0"/>
    <n v="50000"/>
    <n v="17600"/>
    <x v="2"/>
    <n v="32400"/>
    <s v="Within Budget"/>
    <n v="-12"/>
  </r>
  <r>
    <s v="Marketing Automation"/>
    <s v="User Training"/>
    <x v="5"/>
    <s v="Low"/>
    <d v="2024-01-28T00:00:00"/>
    <d v="2024-02-15T00:00:00"/>
    <d v="2024-02-20T00:00:00"/>
    <n v="1"/>
    <n v="15000"/>
    <n v="13100"/>
    <x v="0"/>
    <n v="1900"/>
    <s v="Within Budget"/>
    <n v="5"/>
  </r>
  <r>
    <s v="Vendor Portal"/>
    <s v="Post-Launch Review"/>
    <x v="22"/>
    <s v="High"/>
    <d v="2025-02-01T00:00:00"/>
    <d v="2025-03-05T00:00:00"/>
    <m/>
    <n v="0.56000000000000005"/>
    <n v="45000"/>
    <n v="28900"/>
    <x v="4"/>
    <n v="16100"/>
    <s v="Within Budget"/>
    <n v="565"/>
  </r>
  <r>
    <s v="Website Redesign"/>
    <s v="Deployment Planning"/>
    <x v="23"/>
    <s v="Critical"/>
    <d v="2025-01-05T00:00:00"/>
    <d v="2025-02-09T00:00:00"/>
    <d v="2025-02-26T00:00:00"/>
    <n v="1"/>
    <n v="93000"/>
    <n v="122700"/>
    <x v="0"/>
    <n v="-29700"/>
    <s v="Over Budget"/>
    <n v="17"/>
  </r>
  <r>
    <s v="Payment Integration"/>
    <s v="Go-Live Preparation"/>
    <x v="10"/>
    <s v="High"/>
    <d v="2024-07-16T00:00:00"/>
    <d v="2024-07-27T00:00:00"/>
    <d v="2024-07-30T00:00:00"/>
    <n v="1"/>
    <n v="14000"/>
    <n v="17600"/>
    <x v="0"/>
    <n v="-3600"/>
    <s v="Over Budget"/>
    <n v="3"/>
  </r>
  <r>
    <s v="Onboarding Automation"/>
    <s v="Retrospective"/>
    <x v="15"/>
    <s v="High"/>
    <d v="2024-12-28T00:00:00"/>
    <d v="2025-01-03T00:00:00"/>
    <m/>
    <n v="0.59"/>
    <n v="8000"/>
    <n v="7900"/>
    <x v="1"/>
    <n v="100"/>
    <s v="Within Budget"/>
    <n v="626"/>
  </r>
  <r>
    <s v="Training Platform"/>
    <s v="Database Design"/>
    <x v="20"/>
    <s v="Medium"/>
    <d v="2024-07-17T00:00:00"/>
    <d v="2024-08-04T00:00:00"/>
    <d v="2024-08-10T00:00:00"/>
    <n v="1"/>
    <n v="49000"/>
    <n v="64100"/>
    <x v="0"/>
    <n v="-15100"/>
    <s v="Over Budget"/>
    <n v="6"/>
  </r>
  <r>
    <s v="Security Audit"/>
    <s v="Contract Negotiation"/>
    <x v="12"/>
    <s v="Medium"/>
    <d v="2024-12-23T00:00:00"/>
    <d v="2025-01-11T00:00:00"/>
    <m/>
    <n v="0.28000000000000003"/>
    <n v="13000"/>
    <n v="10900"/>
    <x v="1"/>
    <n v="2100"/>
    <s v="Within Budget"/>
    <n v="618"/>
  </r>
  <r>
    <s v="Mobile App Launch"/>
    <s v="Risk Assessment"/>
    <x v="20"/>
    <s v="High"/>
    <d v="2024-01-10T00:00:00"/>
    <d v="2024-02-10T00:00:00"/>
    <d v="2024-03-18T00:00:00"/>
    <n v="1"/>
    <n v="48000"/>
    <n v="51100"/>
    <x v="0"/>
    <n v="-3100"/>
    <s v="Over Budget"/>
    <n v="37"/>
  </r>
  <r>
    <s v="Annual Report"/>
    <s v="System Configuration"/>
    <x v="13"/>
    <s v="Medium"/>
    <d v="2025-01-11T00:00:00"/>
    <d v="2025-02-09T00:00:00"/>
    <m/>
    <n v="0.25"/>
    <n v="20000"/>
    <n v="25600"/>
    <x v="1"/>
    <n v="-5600"/>
    <s v="Over Budget"/>
    <n v="589"/>
  </r>
  <r>
    <s v="Budget Planning Tool"/>
    <s v="Prototype Development"/>
    <x v="3"/>
    <s v="High"/>
    <d v="2024-03-03T00:00:00"/>
    <d v="2024-04-11T00:00:00"/>
    <d v="2024-05-21T00:00:00"/>
    <n v="1"/>
    <n v="47000"/>
    <n v="50700"/>
    <x v="0"/>
    <n v="-3700"/>
    <s v="Over Budget"/>
    <n v="40"/>
  </r>
  <r>
    <s v="Cloud Infrastructure"/>
    <s v="Stakeholder Interviews"/>
    <x v="5"/>
    <s v="High"/>
    <d v="2024-08-18T00:00:00"/>
    <d v="2024-08-28T00:00:00"/>
    <d v="2024-08-20T00:00:00"/>
    <n v="0.2"/>
    <n v="10000"/>
    <n v="2200"/>
    <x v="2"/>
    <n v="7800"/>
    <s v="Within Budget"/>
    <n v="-8"/>
  </r>
  <r>
    <s v="Email Platform Migration"/>
    <s v="Market Research"/>
    <x v="13"/>
    <s v="Medium"/>
    <d v="2025-02-17T00:00:00"/>
    <d v="2025-02-24T00:00:00"/>
    <d v="2025-03-17T00:00:00"/>
    <n v="1"/>
    <n v="8000"/>
    <n v="6900"/>
    <x v="0"/>
    <n v="1100"/>
    <s v="Within Budget"/>
    <n v="21"/>
  </r>
  <r>
    <s v="Analytics Dashboard"/>
    <s v="Performance Testing"/>
    <x v="17"/>
    <s v="Low"/>
    <d v="2025-05-22T00:00:00"/>
    <d v="2025-06-07T00:00:00"/>
    <m/>
    <n v="0.34"/>
    <n v="34000"/>
    <n v="12200"/>
    <x v="4"/>
    <n v="21800"/>
    <s v="Within Budget"/>
    <n v="471"/>
  </r>
  <r>
    <s v="Website Redesign"/>
    <s v="Prototype Development"/>
    <x v="1"/>
    <s v="Low"/>
    <d v="2024-03-26T00:00:00"/>
    <d v="2024-04-28T00:00:00"/>
    <d v="2024-05-01T00:00:00"/>
    <n v="1"/>
    <n v="49000"/>
    <n v="59800"/>
    <x v="0"/>
    <n v="-10800"/>
    <s v="Over Budget"/>
    <n v="3"/>
  </r>
  <r>
    <s v="Social Media Revamp"/>
    <s v="UI/UX Design"/>
    <x v="14"/>
    <s v="Medium"/>
    <d v="2024-07-11T00:00:00"/>
    <d v="2024-08-16T00:00:00"/>
    <d v="2024-08-16T00:00:00"/>
    <n v="1"/>
    <n v="72000"/>
    <n v="77500"/>
    <x v="0"/>
    <n v="-5500"/>
    <s v="Over Budget"/>
    <n v="0"/>
  </r>
  <r>
    <s v="Product Launch Q1"/>
    <s v="Code Review"/>
    <x v="14"/>
    <s v="Medium"/>
    <d v="2024-01-20T00:00:00"/>
    <d v="2024-02-20T00:00:00"/>
    <m/>
    <n v="0.42"/>
    <n v="31000"/>
    <n v="38800"/>
    <x v="1"/>
    <n v="-7800"/>
    <s v="Over Budget"/>
    <n v="944"/>
  </r>
  <r>
    <s v="Social Media Revamp"/>
    <s v="Go-Live Preparation"/>
    <x v="14"/>
    <s v="Critical"/>
    <d v="2024-08-17T00:00:00"/>
    <d v="2024-09-04T00:00:00"/>
    <m/>
    <n v="0.75"/>
    <n v="44000"/>
    <n v="24900"/>
    <x v="1"/>
    <n v="19100"/>
    <s v="Within Budget"/>
    <n v="747"/>
  </r>
  <r>
    <s v="Compliance Overhaul"/>
    <s v="Database Design"/>
    <x v="18"/>
    <s v="Medium"/>
    <d v="2025-02-23T00:00:00"/>
    <d v="2025-03-22T00:00:00"/>
    <m/>
    <n v="0.53"/>
    <n v="10000"/>
    <n v="7200"/>
    <x v="1"/>
    <n v="2800"/>
    <s v="Within Budget"/>
    <n v="548"/>
  </r>
  <r>
    <s v="Annual Report"/>
    <s v="Integration Testing"/>
    <x v="11"/>
    <s v="Medium"/>
    <d v="2024-12-10T00:00:00"/>
    <d v="2024-12-21T00:00:00"/>
    <d v="2024-12-12T00:00:00"/>
    <n v="1"/>
    <n v="12000"/>
    <n v="12000"/>
    <x v="0"/>
    <n v="0"/>
    <s v="Within Budget"/>
    <n v="-9"/>
  </r>
  <r>
    <s v="Security Audit"/>
    <s v="Bug Fixes"/>
    <x v="10"/>
    <s v="High"/>
    <d v="2025-03-16T00:00:00"/>
    <d v="2025-04-18T00:00:00"/>
    <m/>
    <n v="0"/>
    <n v="74000"/>
    <n v="0"/>
    <x v="3"/>
    <n v="74000"/>
    <s v="Within Budget"/>
    <n v="521"/>
  </r>
  <r>
    <s v="Vendor Portal"/>
    <s v="Content Creation"/>
    <x v="15"/>
    <s v="Medium"/>
    <d v="2024-08-12T00:00:00"/>
    <d v="2024-09-14T00:00:00"/>
    <d v="2024-09-14T00:00:00"/>
    <n v="1"/>
    <n v="84000"/>
    <n v="106600"/>
    <x v="0"/>
    <n v="-22600"/>
    <s v="Over Budget"/>
    <n v="0"/>
  </r>
  <r>
    <s v="Onboarding Automation"/>
    <s v="Quality Assurance"/>
    <x v="15"/>
    <s v="High"/>
    <d v="2024-06-03T00:00:00"/>
    <d v="2024-07-07T00:00:00"/>
    <m/>
    <n v="0.25"/>
    <n v="62000"/>
    <n v="47900"/>
    <x v="1"/>
    <n v="14100"/>
    <s v="Within Budget"/>
    <n v="806"/>
  </r>
  <r>
    <s v="Onboarding Automation"/>
    <s v="Compliance Check"/>
    <x v="14"/>
    <s v="Critical"/>
    <d v="2024-02-23T00:00:00"/>
    <d v="2024-03-28T00:00:00"/>
    <d v="2024-04-18T00:00:00"/>
    <n v="1"/>
    <n v="85000"/>
    <n v="91600"/>
    <x v="0"/>
    <n v="-6600"/>
    <s v="Over Budget"/>
    <n v="21"/>
  </r>
  <r>
    <s v="Product Launch Q2"/>
    <s v="Market Research"/>
    <x v="6"/>
    <s v="Medium"/>
    <d v="2025-02-10T00:00:00"/>
    <d v="2025-02-19T00:00:00"/>
    <m/>
    <n v="0.46"/>
    <n v="2000"/>
    <n v="900"/>
    <x v="4"/>
    <n v="1100"/>
    <s v="Within Budget"/>
    <n v="579"/>
  </r>
  <r>
    <s v="Training Platform"/>
    <s v="Backup Configuration"/>
    <x v="21"/>
    <s v="Medium"/>
    <d v="2024-07-22T00:00:00"/>
    <d v="2024-08-11T00:00:00"/>
    <d v="2024-08-25T00:00:00"/>
    <n v="1"/>
    <n v="21000"/>
    <n v="24400"/>
    <x v="0"/>
    <n v="-3400"/>
    <s v="Over Budget"/>
    <n v="14"/>
  </r>
  <r>
    <s v="ERP Implementation"/>
    <s v="Communication Plan"/>
    <x v="15"/>
    <s v="High"/>
    <d v="2024-07-31T00:00:00"/>
    <d v="2024-08-25T00:00:00"/>
    <d v="2024-09-02T00:00:00"/>
    <n v="1"/>
    <n v="26000"/>
    <n v="25100"/>
    <x v="0"/>
    <n v="900"/>
    <s v="Within Budget"/>
    <n v="8"/>
  </r>
  <r>
    <s v="Supply Chain Optimization"/>
    <s v="Code Review"/>
    <x v="11"/>
    <s v="High"/>
    <d v="2024-10-23T00:00:00"/>
    <d v="2024-11-02T00:00:00"/>
    <d v="2024-11-26T00:00:00"/>
    <n v="1"/>
    <n v="7000"/>
    <n v="8000"/>
    <x v="0"/>
    <n v="-1000"/>
    <s v="Over Budget"/>
    <n v="24"/>
  </r>
  <r>
    <s v="Analytics Dashboard"/>
    <s v="Infrastructure Setup"/>
    <x v="18"/>
    <s v="High"/>
    <d v="2024-06-24T00:00:00"/>
    <d v="2024-07-04T00:00:00"/>
    <d v="2024-08-10T00:00:00"/>
    <n v="1"/>
    <n v="4000"/>
    <n v="5100"/>
    <x v="0"/>
    <n v="-1100"/>
    <s v="Over Budget"/>
    <n v="37"/>
  </r>
  <r>
    <s v="Marketing Automation"/>
    <s v="Documentation"/>
    <x v="10"/>
    <s v="Medium"/>
    <d v="2024-01-30T00:00:00"/>
    <d v="2024-02-26T00:00:00"/>
    <d v="2024-02-02T00:00:00"/>
    <n v="0.2"/>
    <n v="13000"/>
    <n v="3700"/>
    <x v="2"/>
    <n v="9300"/>
    <s v="Within Budget"/>
    <n v="-24"/>
  </r>
  <r>
    <s v="DevOps Pipeline"/>
    <s v="Risk Assessment"/>
    <x v="10"/>
    <s v="Critical"/>
    <d v="2025-03-06T00:00:00"/>
    <d v="2025-03-15T00:00:00"/>
    <m/>
    <n v="0.42"/>
    <n v="5000"/>
    <n v="2100"/>
    <x v="5"/>
    <n v="2900"/>
    <s v="Within Budget"/>
    <n v="555"/>
  </r>
  <r>
    <s v="Data Warehouse Build"/>
    <s v="User Acceptance Testing"/>
    <x v="13"/>
    <s v="Medium"/>
    <d v="2025-03-19T00:00:00"/>
    <d v="2025-04-04T00:00:00"/>
    <m/>
    <n v="0"/>
    <n v="30000"/>
    <n v="0"/>
    <x v="3"/>
    <n v="30000"/>
    <s v="Within Budget"/>
    <n v="535"/>
  </r>
  <r>
    <s v="DevOps Pipeline"/>
    <s v="Asset Design"/>
    <x v="21"/>
    <s v="Low"/>
    <d v="2024-01-08T00:00:00"/>
    <d v="2024-01-20T00:00:00"/>
    <d v="2024-03-05T00:00:00"/>
    <n v="1"/>
    <n v="32000"/>
    <n v="36800"/>
    <x v="0"/>
    <n v="-4800"/>
    <s v="Over Budget"/>
    <n v="45"/>
  </r>
  <r>
    <s v="Mobile App Launch"/>
    <s v="Integration Testing"/>
    <x v="1"/>
    <s v="High"/>
    <d v="2025-05-13T00:00:00"/>
    <d v="2025-06-16T00:00:00"/>
    <m/>
    <n v="0"/>
    <n v="71000"/>
    <n v="0"/>
    <x v="3"/>
    <n v="71000"/>
    <s v="Within Budget"/>
    <n v="462"/>
  </r>
  <r>
    <s v="Supply Chain Optimization"/>
    <s v="Bug Fixes"/>
    <x v="6"/>
    <s v="Low"/>
    <d v="2024-03-01T00:00:00"/>
    <d v="2024-03-13T00:00:00"/>
    <d v="2024-03-14T00:00:00"/>
    <n v="1"/>
    <n v="48000"/>
    <n v="59600"/>
    <x v="0"/>
    <n v="-11600"/>
    <s v="Over Budget"/>
    <n v="1"/>
  </r>
  <r>
    <s v="Performance Review System"/>
    <s v="Change Management"/>
    <x v="11"/>
    <s v="High"/>
    <d v="2024-05-29T00:00:00"/>
    <d v="2024-06-26T00:00:00"/>
    <d v="2024-06-27T00:00:00"/>
    <n v="1"/>
    <n v="40000"/>
    <n v="44600"/>
    <x v="0"/>
    <n v="-4600"/>
    <s v="Over Budget"/>
    <n v="1"/>
  </r>
  <r>
    <s v="DevOps Pipeline"/>
    <s v="Compliance Check"/>
    <x v="5"/>
    <s v="Medium"/>
    <d v="2025-06-18T00:00:00"/>
    <d v="2025-06-29T00:00:00"/>
    <m/>
    <n v="0"/>
    <n v="21000"/>
    <n v="0"/>
    <x v="3"/>
    <n v="21000"/>
    <s v="Within Budget"/>
    <n v="449"/>
  </r>
  <r>
    <s v="Brand Refresh"/>
    <s v="Frontend Development"/>
    <x v="4"/>
    <s v="Medium"/>
    <d v="2024-01-27T00:00:00"/>
    <d v="2024-03-11T00:00:00"/>
    <m/>
    <n v="0.77"/>
    <n v="79000"/>
    <n v="96800"/>
    <x v="1"/>
    <n v="-17800"/>
    <s v="Over Budget"/>
    <n v="924"/>
  </r>
  <r>
    <s v="Cloud Infrastructure"/>
    <s v="Bug Fixes"/>
    <x v="22"/>
    <s v="Low"/>
    <d v="2024-03-13T00:00:00"/>
    <d v="2024-03-21T00:00:00"/>
    <d v="2024-03-20T00:00:00"/>
    <n v="1"/>
    <n v="11000"/>
    <n v="13600"/>
    <x v="0"/>
    <n v="-2600"/>
    <s v="Over Budget"/>
    <n v="-1"/>
  </r>
  <r>
    <s v="Email Platform Migration"/>
    <s v="Compliance Check"/>
    <x v="15"/>
    <s v="Critical"/>
    <d v="2024-02-02T00:00:00"/>
    <d v="2024-02-11T00:00:00"/>
    <m/>
    <n v="0.59"/>
    <n v="13000"/>
    <n v="8300"/>
    <x v="1"/>
    <n v="4700"/>
    <s v="Within Budget"/>
    <n v="953"/>
  </r>
  <r>
    <s v="Customer Portal"/>
    <s v="Code Review"/>
    <x v="0"/>
    <s v="High"/>
    <d v="2024-09-27T00:00:00"/>
    <d v="2024-10-13T00:00:00"/>
    <m/>
    <n v="0.23"/>
    <n v="36000"/>
    <n v="21400"/>
    <x v="1"/>
    <n v="14600"/>
    <s v="Within Budget"/>
    <n v="708"/>
  </r>
  <r>
    <s v="Vendor Portal"/>
    <s v="Analytics Integration"/>
    <x v="14"/>
    <s v="Medium"/>
    <d v="2025-02-02T00:00:00"/>
    <d v="2025-02-11T00:00:00"/>
    <m/>
    <n v="0.14000000000000001"/>
    <n v="9000"/>
    <n v="5200"/>
    <x v="5"/>
    <n v="3800"/>
    <s v="Within Budget"/>
    <n v="587"/>
  </r>
  <r>
    <s v="Product Launch Q2"/>
    <s v="Unit Testing"/>
    <x v="17"/>
    <s v="Medium"/>
    <d v="2024-11-30T00:00:00"/>
    <d v="2024-12-11T00:00:00"/>
    <d v="2024-12-08T00:00:00"/>
    <n v="1"/>
    <n v="47000"/>
    <n v="49200"/>
    <x v="0"/>
    <n v="-2200"/>
    <s v="Over Budget"/>
    <n v="-3"/>
  </r>
  <r>
    <s v="Chatbot Development"/>
    <s v="Optimization"/>
    <x v="5"/>
    <s v="Low"/>
    <d v="2025-03-07T00:00:00"/>
    <d v="2025-03-16T00:00:00"/>
    <m/>
    <n v="0.25"/>
    <n v="14000"/>
    <n v="7900"/>
    <x v="5"/>
    <n v="6100"/>
    <s v="Within Budget"/>
    <n v="554"/>
  </r>
  <r>
    <s v="Analytics Dashboard"/>
    <s v="User Training"/>
    <x v="17"/>
    <s v="Medium"/>
    <d v="2024-01-24T00:00:00"/>
    <d v="2024-02-06T00:00:00"/>
    <d v="2024-03-09T00:00:00"/>
    <n v="1"/>
    <n v="40000"/>
    <n v="56000"/>
    <x v="0"/>
    <n v="-16000"/>
    <s v="Over Budget"/>
    <n v="32"/>
  </r>
  <r>
    <s v="Product Launch Q2"/>
    <s v="UI/UX Design"/>
    <x v="15"/>
    <s v="High"/>
    <d v="2025-05-19T00:00:00"/>
    <d v="2025-06-14T00:00:00"/>
    <m/>
    <n v="0"/>
    <n v="44000"/>
    <n v="0"/>
    <x v="3"/>
    <n v="44000"/>
    <s v="Within Budget"/>
    <n v="464"/>
  </r>
  <r>
    <s v="Website Redesign"/>
    <s v="Communication Plan"/>
    <x v="14"/>
    <s v="Medium"/>
    <d v="2024-09-09T00:00:00"/>
    <d v="2024-09-16T00:00:00"/>
    <d v="2024-09-24T00:00:00"/>
    <n v="1"/>
    <n v="5000"/>
    <n v="5200"/>
    <x v="0"/>
    <n v="-200"/>
    <s v="Over Budget"/>
    <n v="8"/>
  </r>
  <r>
    <s v="Mobile App Launch"/>
    <s v="Market Research"/>
    <x v="4"/>
    <s v="High"/>
    <d v="2024-02-17T00:00:00"/>
    <d v="2024-02-26T00:00:00"/>
    <d v="2024-03-01T00:00:00"/>
    <n v="1"/>
    <n v="5000"/>
    <n v="5500"/>
    <x v="0"/>
    <n v="-500"/>
    <s v="Over Budget"/>
    <n v="4"/>
  </r>
  <r>
    <s v="Payment Integration"/>
    <s v="Stakeholder Interviews"/>
    <x v="4"/>
    <s v="Low"/>
    <d v="2025-01-13T00:00:00"/>
    <d v="2025-01-21T00:00:00"/>
    <d v="2025-01-19T00:00:00"/>
    <n v="1"/>
    <n v="2000"/>
    <n v="2100"/>
    <x v="0"/>
    <n v="-100"/>
    <s v="Over Budget"/>
    <n v="-2"/>
  </r>
  <r>
    <s v="API Gateway"/>
    <s v="Optimization"/>
    <x v="22"/>
    <s v="Medium"/>
    <d v="2024-01-13T00:00:00"/>
    <d v="2024-02-09T00:00:00"/>
    <m/>
    <n v="0.77"/>
    <n v="26000"/>
    <n v="30000"/>
    <x v="1"/>
    <n v="-4000"/>
    <s v="Over Budget"/>
    <n v="955"/>
  </r>
  <r>
    <s v="Chatbot Development"/>
    <s v="Iteration Planning"/>
    <x v="19"/>
    <s v="Critical"/>
    <d v="2025-06-25T00:00:00"/>
    <d v="2025-07-03T00:00:00"/>
    <m/>
    <n v="0"/>
    <n v="7000"/>
    <n v="0"/>
    <x v="3"/>
    <n v="7000"/>
    <s v="Within Budget"/>
    <n v="445"/>
  </r>
  <r>
    <s v="Chatbot Development"/>
    <s v="Contract Negotiation"/>
    <x v="7"/>
    <s v="Medium"/>
    <d v="2025-05-25T00:00:00"/>
    <d v="2025-06-03T00:00:00"/>
    <m/>
    <n v="0"/>
    <n v="8000"/>
    <n v="0"/>
    <x v="3"/>
    <n v="8000"/>
    <s v="Within Budget"/>
    <n v="475"/>
  </r>
  <r>
    <s v="Cloud Infrastructure"/>
    <s v="Data Migration"/>
    <x v="23"/>
    <s v="Medium"/>
    <d v="2024-09-05T00:00:00"/>
    <d v="2024-11-16T00:00:00"/>
    <d v="2024-12-14T00:00:00"/>
    <n v="1"/>
    <n v="172000"/>
    <n v="164300"/>
    <x v="0"/>
    <n v="7700"/>
    <s v="Within Budget"/>
    <n v="28"/>
  </r>
  <r>
    <s v="Onboarding Automation"/>
    <s v="Vendor Evaluation"/>
    <x v="1"/>
    <s v="Critical"/>
    <d v="2024-05-08T00:00:00"/>
    <d v="2024-06-10T00:00:00"/>
    <d v="2024-06-17T00:00:00"/>
    <n v="1"/>
    <n v="37000"/>
    <n v="34800"/>
    <x v="0"/>
    <n v="2200"/>
    <s v="Within Budget"/>
    <n v="7"/>
  </r>
  <r>
    <s v="HR System Upgrade"/>
    <s v="Backup Configuration"/>
    <x v="9"/>
    <s v="Low"/>
    <d v="2024-11-28T00:00:00"/>
    <d v="2024-12-22T00:00:00"/>
    <d v="2024-12-27T00:00:00"/>
    <n v="1"/>
    <n v="45000"/>
    <n v="53700"/>
    <x v="0"/>
    <n v="-8700"/>
    <s v="Over Budget"/>
    <n v="5"/>
  </r>
  <r>
    <s v="CRM Migration"/>
    <s v="Integration Testing"/>
    <x v="15"/>
    <s v="Medium"/>
    <d v="2025-04-26T00:00:00"/>
    <d v="2025-05-23T00:00:00"/>
    <m/>
    <n v="0"/>
    <n v="19000"/>
    <n v="0"/>
    <x v="3"/>
    <n v="19000"/>
    <s v="Within Budget"/>
    <n v="486"/>
  </r>
  <r>
    <s v="Payment Integration"/>
    <s v="Data Migration"/>
    <x v="7"/>
    <s v="Medium"/>
    <d v="2024-12-09T00:00:00"/>
    <d v="2025-02-05T00:00:00"/>
    <m/>
    <n v="0.57999999999999996"/>
    <n v="60000"/>
    <n v="25200"/>
    <x v="5"/>
    <n v="34800"/>
    <s v="Within Budget"/>
    <n v="593"/>
  </r>
  <r>
    <s v="Chatbot Development"/>
    <s v="Monitoring Setup"/>
    <x v="14"/>
    <s v="High"/>
    <d v="2024-03-05T00:00:00"/>
    <d v="2024-04-03T00:00:00"/>
    <d v="2024-04-29T00:00:00"/>
    <n v="1"/>
    <n v="10000"/>
    <n v="13700"/>
    <x v="0"/>
    <n v="-3700"/>
    <s v="Over Budget"/>
    <n v="26"/>
  </r>
  <r>
    <s v="Payment Integration"/>
    <s v="Status Reporting"/>
    <x v="23"/>
    <s v="High"/>
    <d v="2025-06-03T00:00:00"/>
    <d v="2025-06-24T00:00:00"/>
    <m/>
    <n v="0.35"/>
    <n v="26000"/>
    <n v="9700"/>
    <x v="4"/>
    <n v="16300"/>
    <s v="Within Budget"/>
    <n v="454"/>
  </r>
  <r>
    <s v="Product Launch Q2"/>
    <s v="Frontend Development"/>
    <x v="22"/>
    <s v="Low"/>
    <d v="2025-02-21T00:00:00"/>
    <d v="2025-04-06T00:00:00"/>
    <m/>
    <n v="0.66"/>
    <n v="97000"/>
    <n v="69300"/>
    <x v="4"/>
    <n v="27700"/>
    <s v="Within Budget"/>
    <n v="533"/>
  </r>
  <r>
    <s v="Marketing Automation"/>
    <s v="Iteration Planning"/>
    <x v="23"/>
    <s v="Medium"/>
    <d v="2025-01-30T00:00:00"/>
    <d v="2025-03-01T00:00:00"/>
    <d v="2025-03-04T00:00:00"/>
    <n v="1"/>
    <n v="43000"/>
    <n v="40000"/>
    <x v="0"/>
    <n v="3000"/>
    <s v="Within Budget"/>
    <n v="3"/>
  </r>
  <r>
    <s v="Office Relocation"/>
    <s v="Budget Review"/>
    <x v="3"/>
    <s v="High"/>
    <d v="2024-09-28T00:00:00"/>
    <d v="2024-10-25T00:00:00"/>
    <d v="2024-10-30T00:00:00"/>
    <n v="1"/>
    <n v="44000"/>
    <n v="61400"/>
    <x v="0"/>
    <n v="-17400"/>
    <s v="Over Budget"/>
    <n v="5"/>
  </r>
  <r>
    <s v="Performance Review System"/>
    <s v="Content Creation"/>
    <x v="15"/>
    <s v="Medium"/>
    <d v="2025-01-29T00:00:00"/>
    <d v="2025-02-10T00:00:00"/>
    <d v="2025-02-03T00:00:00"/>
    <n v="1"/>
    <n v="30000"/>
    <n v="33200"/>
    <x v="0"/>
    <n v="-3200"/>
    <s v="Over Budget"/>
    <n v="-7"/>
  </r>
  <r>
    <s v="HR System Upgrade"/>
    <s v="User Training"/>
    <x v="0"/>
    <s v="Low"/>
    <d v="2024-06-04T00:00:00"/>
    <d v="2024-06-13T00:00:00"/>
    <d v="2024-06-14T00:00:00"/>
    <n v="1"/>
    <n v="7000"/>
    <n v="9600"/>
    <x v="0"/>
    <n v="-2600"/>
    <s v="Over Budget"/>
    <n v="1"/>
  </r>
  <r>
    <s v="Training Platform"/>
    <s v="Competitive Analysis"/>
    <x v="16"/>
    <s v="Medium"/>
    <d v="2024-06-04T00:00:00"/>
    <d v="2024-07-08T00:00:00"/>
    <m/>
    <n v="0.28999999999999998"/>
    <n v="40000"/>
    <n v="41700"/>
    <x v="1"/>
    <n v="-1700"/>
    <s v="Over Budget"/>
    <n v="805"/>
  </r>
  <r>
    <s v="Customer Portal"/>
    <s v="Unit Testing"/>
    <x v="19"/>
    <s v="High"/>
    <d v="2025-05-16T00:00:00"/>
    <d v="2025-05-28T00:00:00"/>
    <m/>
    <n v="0"/>
    <n v="48000"/>
    <n v="0"/>
    <x v="3"/>
    <n v="48000"/>
    <s v="Within Budget"/>
    <n v="481"/>
  </r>
  <r>
    <s v="Brand Refresh"/>
    <s v="Asset Design"/>
    <x v="16"/>
    <s v="Medium"/>
    <d v="2024-06-26T00:00:00"/>
    <d v="2024-07-16T00:00:00"/>
    <m/>
    <n v="0.8"/>
    <n v="32000"/>
    <n v="25800"/>
    <x v="1"/>
    <n v="6200"/>
    <s v="Within Budget"/>
    <n v="797"/>
  </r>
  <r>
    <s v="API Gateway"/>
    <s v="Backup Configuration"/>
    <x v="1"/>
    <s v="Low"/>
    <d v="2025-04-09T00:00:00"/>
    <d v="2025-05-13T00:00:00"/>
    <m/>
    <n v="0.37"/>
    <n v="40000"/>
    <n v="17200"/>
    <x v="4"/>
    <n v="22800"/>
    <s v="Within Budget"/>
    <n v="496"/>
  </r>
  <r>
    <s v="DevOps Pipeline"/>
    <s v="Documentation"/>
    <x v="16"/>
    <s v="Critical"/>
    <d v="2024-09-05T00:00:00"/>
    <d v="2024-10-10T00:00:00"/>
    <m/>
    <n v="0.51"/>
    <n v="100000"/>
    <n v="107800"/>
    <x v="1"/>
    <n v="-7800"/>
    <s v="Over Budget"/>
    <n v="711"/>
  </r>
  <r>
    <s v="Security Audit"/>
    <s v="A/B Testing Setup"/>
    <x v="1"/>
    <s v="High"/>
    <d v="2024-01-28T00:00:00"/>
    <d v="2024-02-04T00:00:00"/>
    <d v="2024-01-31T00:00:00"/>
    <n v="0.3"/>
    <n v="7000"/>
    <n v="400"/>
    <x v="2"/>
    <n v="6600"/>
    <s v="Within Budget"/>
    <n v="-4"/>
  </r>
  <r>
    <s v="Office Relocation"/>
    <s v="Sprint Planning"/>
    <x v="19"/>
    <s v="High"/>
    <d v="2024-04-03T00:00:00"/>
    <d v="2024-04-13T00:00:00"/>
    <d v="2024-04-05T00:00:00"/>
    <n v="0.15"/>
    <n v="10000"/>
    <n v="3500"/>
    <x v="2"/>
    <n v="6500"/>
    <s v="Within Budget"/>
    <n v="-8"/>
  </r>
  <r>
    <s v="Data Warehouse Build"/>
    <s v="Communication Plan"/>
    <x v="17"/>
    <s v="High"/>
    <d v="2024-08-22T00:00:00"/>
    <d v="2024-09-20T00:00:00"/>
    <d v="2024-09-12T00:00:00"/>
    <n v="1"/>
    <n v="38000"/>
    <n v="33700"/>
    <x v="0"/>
    <n v="4300"/>
    <s v="Within Budget"/>
    <n v="-8"/>
  </r>
  <r>
    <s v="CRM Migration"/>
    <s v="Retrospective"/>
    <x v="24"/>
    <s v="Low"/>
    <d v="2025-05-11T00:00:00"/>
    <d v="2025-05-20T00:00:00"/>
    <m/>
    <n v="0.22"/>
    <n v="13000"/>
    <n v="3000"/>
    <x v="4"/>
    <n v="10000"/>
    <s v="Within Budget"/>
    <n v="489"/>
  </r>
  <r>
    <s v="Security Audit"/>
    <s v="Iteration Planning"/>
    <x v="6"/>
    <s v="Medium"/>
    <d v="2024-10-24T00:00:00"/>
    <d v="2024-11-14T00:00:00"/>
    <d v="2024-11-05T00:00:00"/>
    <n v="1"/>
    <n v="29000"/>
    <n v="39100"/>
    <x v="0"/>
    <n v="-10100"/>
    <s v="Over Budget"/>
    <n v="-9"/>
  </r>
  <r>
    <s v="HR System Upgrade"/>
    <s v="Deployment Planning"/>
    <x v="17"/>
    <s v="High"/>
    <d v="2024-04-23T00:00:00"/>
    <d v="2024-05-01T00:00:00"/>
    <d v="2024-05-01T00:00:00"/>
    <n v="1"/>
    <n v="5000"/>
    <n v="5400"/>
    <x v="0"/>
    <n v="-400"/>
    <s v="Over Budget"/>
    <n v="0"/>
  </r>
  <r>
    <s v="Compliance Overhaul"/>
    <s v="Accessibility Audit"/>
    <x v="24"/>
    <s v="High"/>
    <d v="2024-08-03T00:00:00"/>
    <d v="2024-09-07T00:00:00"/>
    <d v="2024-08-29T00:00:00"/>
    <n v="1"/>
    <n v="64000"/>
    <n v="56500"/>
    <x v="0"/>
    <n v="7500"/>
    <s v="Within Budget"/>
    <n v="-9"/>
  </r>
  <r>
    <s v="Office Relocation"/>
    <s v="API Development"/>
    <x v="23"/>
    <s v="Medium"/>
    <d v="2024-03-30T00:00:00"/>
    <d v="2024-04-25T00:00:00"/>
    <d v="2024-04-09T00:00:00"/>
    <n v="0.2"/>
    <n v="10000"/>
    <n v="2900"/>
    <x v="2"/>
    <n v="7100"/>
    <s v="Within Budget"/>
    <n v="-16"/>
  </r>
  <r>
    <s v="Brand Refresh"/>
    <s v="Backend Development"/>
    <x v="14"/>
    <s v="Critical"/>
    <d v="2025-01-24T00:00:00"/>
    <d v="2025-03-04T00:00:00"/>
    <d v="2025-03-05T00:00:00"/>
    <n v="1"/>
    <n v="44000"/>
    <n v="40100"/>
    <x v="0"/>
    <n v="3900"/>
    <s v="Within Budget"/>
    <n v="1"/>
  </r>
  <r>
    <s v="Vendor Portal"/>
    <s v="Market Research"/>
    <x v="2"/>
    <s v="Medium"/>
    <d v="2024-11-18T00:00:00"/>
    <d v="2024-11-23T00:00:00"/>
    <d v="2024-11-25T00:00:00"/>
    <n v="1"/>
    <n v="13000"/>
    <n v="15600"/>
    <x v="0"/>
    <n v="-2600"/>
    <s v="Over Budget"/>
    <n v="2"/>
  </r>
  <r>
    <s v="Cloud Infrastructure"/>
    <s v="Monitoring Setup"/>
    <x v="20"/>
    <s v="High"/>
    <d v="2024-03-28T00:00:00"/>
    <d v="2024-04-04T00:00:00"/>
    <d v="2024-03-30T00:00:00"/>
    <n v="0.15"/>
    <n v="13000"/>
    <n v="1400"/>
    <x v="2"/>
    <n v="11600"/>
    <s v="Within Budget"/>
    <n v="-5"/>
  </r>
  <r>
    <s v="Annual Report"/>
    <s v="Bug Fixes"/>
    <x v="14"/>
    <s v="Medium"/>
    <d v="2024-03-22T00:00:00"/>
    <d v="2024-04-19T00:00:00"/>
    <m/>
    <n v="0.5"/>
    <n v="29000"/>
    <n v="20200"/>
    <x v="1"/>
    <n v="8800"/>
    <s v="Within Budget"/>
    <n v="885"/>
  </r>
  <r>
    <s v="DevOps Pipeline"/>
    <s v="Feedback Collection"/>
    <x v="17"/>
    <s v="Low"/>
    <d v="2025-04-30T00:00:00"/>
    <d v="2025-05-18T00:00:00"/>
    <m/>
    <n v="0"/>
    <n v="33000"/>
    <n v="0"/>
    <x v="3"/>
    <n v="33000"/>
    <s v="Within Budget"/>
    <n v="491"/>
  </r>
  <r>
    <s v="Cloud Infrastructure"/>
    <s v="Status Reporting"/>
    <x v="13"/>
    <s v="Low"/>
    <d v="2024-02-09T00:00:00"/>
    <d v="2024-03-03T00:00:00"/>
    <d v="2024-03-19T00:00:00"/>
    <n v="1"/>
    <n v="39000"/>
    <n v="35200"/>
    <x v="0"/>
    <n v="3800"/>
    <s v="Within Budget"/>
    <n v="16"/>
  </r>
  <r>
    <s v="CRM Migration"/>
    <s v="Retrospective"/>
    <x v="9"/>
    <s v="Critical"/>
    <d v="2024-07-01T00:00:00"/>
    <d v="2024-07-09T00:00:00"/>
    <d v="2024-07-04T00:00:00"/>
    <n v="0.3"/>
    <n v="13000"/>
    <n v="2100"/>
    <x v="2"/>
    <n v="10900"/>
    <s v="Within Budget"/>
    <n v="-5"/>
  </r>
  <r>
    <s v="Performance Review System"/>
    <s v="User Training"/>
    <x v="14"/>
    <s v="High"/>
    <d v="2025-02-12T00:00:00"/>
    <d v="2025-02-27T00:00:00"/>
    <m/>
    <n v="0.28999999999999998"/>
    <n v="42000"/>
    <n v="5600"/>
    <x v="5"/>
    <n v="36400"/>
    <s v="Within Budget"/>
    <n v="571"/>
  </r>
  <r>
    <s v="Vendor Portal"/>
    <s v="Content Creation"/>
    <x v="7"/>
    <s v="Medium"/>
    <d v="2024-02-13T00:00:00"/>
    <d v="2024-02-26T00:00:00"/>
    <d v="2024-02-14T00:00:00"/>
    <n v="0.25"/>
    <n v="49000"/>
    <n v="3600"/>
    <x v="2"/>
    <n v="45400"/>
    <s v="Within Budget"/>
    <n v="-12"/>
  </r>
  <r>
    <s v="HR System Upgrade"/>
    <s v="Iteration Planning"/>
    <x v="24"/>
    <s v="Medium"/>
    <d v="2025-02-23T00:00:00"/>
    <d v="2025-03-14T00:00:00"/>
    <m/>
    <n v="0.47"/>
    <n v="43000"/>
    <n v="4400"/>
    <x v="5"/>
    <n v="38600"/>
    <s v="Within Budget"/>
    <n v="556"/>
  </r>
  <r>
    <s v="Vendor Portal"/>
    <s v="Unit Testing"/>
    <x v="3"/>
    <s v="High"/>
    <d v="2024-02-14T00:00:00"/>
    <d v="2024-03-02T00:00:00"/>
    <m/>
    <n v="0.73"/>
    <n v="30000"/>
    <n v="31700"/>
    <x v="1"/>
    <n v="-1700"/>
    <s v="Over Budget"/>
    <n v="933"/>
  </r>
  <r>
    <s v="Mobile App Launch"/>
    <s v="Change Management"/>
    <x v="6"/>
    <s v="Low"/>
    <d v="2024-04-05T00:00:00"/>
    <d v="2024-04-22T00:00:00"/>
    <d v="2024-04-08T00:00:00"/>
    <n v="0.2"/>
    <n v="42000"/>
    <n v="6200"/>
    <x v="2"/>
    <n v="35800"/>
    <s v="Within Budget"/>
    <n v="-14"/>
  </r>
  <r>
    <s v="Brand Refresh"/>
    <s v="Content Creation"/>
    <x v="10"/>
    <s v="High"/>
    <d v="2024-01-31T00:00:00"/>
    <d v="2024-02-16T00:00:00"/>
    <d v="2024-03-24T00:00:00"/>
    <n v="1"/>
    <n v="18000"/>
    <n v="24900"/>
    <x v="0"/>
    <n v="-6900"/>
    <s v="Over Budget"/>
    <n v="37"/>
  </r>
  <r>
    <s v="Security Audit"/>
    <s v="Optimization"/>
    <x v="12"/>
    <s v="Low"/>
    <d v="2024-02-21T00:00:00"/>
    <d v="2024-03-07T00:00:00"/>
    <m/>
    <n v="0.77"/>
    <n v="38000"/>
    <n v="34500"/>
    <x v="1"/>
    <n v="3500"/>
    <s v="Within Budget"/>
    <n v="928"/>
  </r>
  <r>
    <s v="CRM Migration"/>
    <s v="Content Creation"/>
    <x v="9"/>
    <s v="Critical"/>
    <d v="2024-01-31T00:00:00"/>
    <d v="2024-02-26T00:00:00"/>
    <d v="2024-03-01T00:00:00"/>
    <n v="1"/>
    <n v="34000"/>
    <n v="44700"/>
    <x v="0"/>
    <n v="-10700"/>
    <s v="Over Budget"/>
    <n v="4"/>
  </r>
  <r>
    <s v="Cloud Infrastructure"/>
    <s v="Market Research"/>
    <x v="6"/>
    <s v="Low"/>
    <d v="2024-06-28T00:00:00"/>
    <d v="2024-07-10T00:00:00"/>
    <d v="2024-07-13T00:00:00"/>
    <n v="1"/>
    <n v="24000"/>
    <n v="31400"/>
    <x v="0"/>
    <n v="-7400"/>
    <s v="Over Budget"/>
    <n v="3"/>
  </r>
  <r>
    <s v="Cloud Infrastructure"/>
    <s v="Asset Design"/>
    <x v="15"/>
    <s v="Medium"/>
    <d v="2024-07-27T00:00:00"/>
    <d v="2024-08-10T00:00:00"/>
    <d v="2024-08-10T00:00:00"/>
    <n v="1"/>
    <n v="42000"/>
    <n v="38400"/>
    <x v="0"/>
    <n v="3600"/>
    <s v="Within Budget"/>
    <n v="0"/>
  </r>
  <r>
    <s v="Customer Portal"/>
    <s v="Change Management"/>
    <x v="16"/>
    <s v="High"/>
    <d v="2024-12-06T00:00:00"/>
    <d v="2024-12-23T00:00:00"/>
    <d v="2024-12-26T00:00:00"/>
    <n v="1"/>
    <n v="31000"/>
    <n v="29800"/>
    <x v="0"/>
    <n v="1200"/>
    <s v="Within Budget"/>
    <n v="3"/>
  </r>
  <r>
    <s v="Onboarding Automation"/>
    <s v="Risk Assessment"/>
    <x v="7"/>
    <s v="Medium"/>
    <d v="2024-05-03T00:00:00"/>
    <d v="2024-05-11T00:00:00"/>
    <m/>
    <n v="0.27"/>
    <n v="12000"/>
    <n v="8600"/>
    <x v="1"/>
    <n v="3400"/>
    <s v="Within Budget"/>
    <n v="863"/>
  </r>
  <r>
    <s v="Product Launch Q1"/>
    <s v="Backup Configuration"/>
    <x v="10"/>
    <s v="Medium"/>
    <d v="2025-01-31T00:00:00"/>
    <d v="2025-02-20T00:00:00"/>
    <d v="2025-02-23T00:00:00"/>
    <n v="1"/>
    <n v="22000"/>
    <n v="30800"/>
    <x v="0"/>
    <n v="-8800"/>
    <s v="Over Budget"/>
    <n v="3"/>
  </r>
  <r>
    <s v="Email Platform Migration"/>
    <s v="Sprint Planning"/>
    <x v="4"/>
    <s v="Low"/>
    <d v="2025-01-08T00:00:00"/>
    <d v="2025-01-19T00:00:00"/>
    <d v="2025-01-12T00:00:00"/>
    <n v="1"/>
    <n v="33000"/>
    <n v="38400"/>
    <x v="0"/>
    <n v="-5400"/>
    <s v="Over Budget"/>
    <n v="-7"/>
  </r>
  <r>
    <s v="CRM Migration"/>
    <s v="Quality Assurance"/>
    <x v="1"/>
    <s v="Critical"/>
    <d v="2024-10-17T00:00:00"/>
    <d v="2024-10-27T00:00:00"/>
    <d v="2024-10-17T00:00:00"/>
    <n v="1"/>
    <n v="3000"/>
    <n v="2600"/>
    <x v="0"/>
    <n v="400"/>
    <s v="Within Budget"/>
    <n v="-10"/>
  </r>
  <r>
    <s v="Mobile App Launch"/>
    <s v="Monitoring Setup"/>
    <x v="15"/>
    <s v="High"/>
    <d v="2024-09-16T00:00:00"/>
    <d v="2024-10-17T00:00:00"/>
    <d v="2024-10-18T00:00:00"/>
    <n v="1"/>
    <n v="54000"/>
    <n v="52300"/>
    <x v="0"/>
    <n v="1700"/>
    <s v="Within Budget"/>
    <n v="1"/>
  </r>
  <r>
    <s v="Vendor Portal"/>
    <s v="Post-Launch Review"/>
    <x v="21"/>
    <s v="High"/>
    <d v="2025-05-28T00:00:00"/>
    <d v="2025-06-12T00:00:00"/>
    <m/>
    <n v="0.24"/>
    <n v="39000"/>
    <n v="9100"/>
    <x v="4"/>
    <n v="29900"/>
    <s v="Within Budget"/>
    <n v="466"/>
  </r>
  <r>
    <s v="HR System Upgrade"/>
    <s v="Go-Live Preparation"/>
    <x v="5"/>
    <s v="High"/>
    <d v="2024-05-10T00:00:00"/>
    <d v="2024-05-24T00:00:00"/>
    <d v="2024-05-23T00:00:00"/>
    <n v="1"/>
    <n v="18000"/>
    <n v="18300"/>
    <x v="0"/>
    <n v="-300"/>
    <s v="Over Budget"/>
    <n v="-1"/>
  </r>
  <r>
    <s v="Data Warehouse Build"/>
    <s v="Budget Review"/>
    <x v="15"/>
    <s v="Medium"/>
    <d v="2025-01-10T00:00:00"/>
    <d v="2025-01-18T00:00:00"/>
    <d v="2025-01-19T00:00:00"/>
    <n v="1"/>
    <n v="13000"/>
    <n v="16800"/>
    <x v="0"/>
    <n v="-3800"/>
    <s v="Over Budget"/>
    <n v="1"/>
  </r>
  <r>
    <s v="Onboarding Automation"/>
    <s v="Backend Development"/>
    <x v="14"/>
    <s v="Medium"/>
    <d v="2025-05-06T00:00:00"/>
    <d v="2025-07-29T00:00:00"/>
    <m/>
    <n v="0"/>
    <n v="168000"/>
    <n v="0"/>
    <x v="3"/>
    <n v="168000"/>
    <s v="Within Budget"/>
    <n v="419"/>
  </r>
  <r>
    <s v="Supply Chain Optimization"/>
    <s v="Technical Architecture"/>
    <x v="17"/>
    <s v="Low"/>
    <d v="2024-06-15T00:00:00"/>
    <d v="2024-07-08T00:00:00"/>
    <d v="2024-08-15T00:00:00"/>
    <n v="1"/>
    <n v="50000"/>
    <n v="57500"/>
    <x v="0"/>
    <n v="-7500"/>
    <s v="Over Budget"/>
    <n v="38"/>
  </r>
  <r>
    <s v="Inventory System"/>
    <s v="Market Research"/>
    <x v="23"/>
    <s v="Low"/>
    <d v="2024-06-20T00:00:00"/>
    <d v="2024-06-26T00:00:00"/>
    <d v="2024-07-01T00:00:00"/>
    <n v="1"/>
    <n v="9000"/>
    <n v="9700"/>
    <x v="0"/>
    <n v="-700"/>
    <s v="Over Budget"/>
    <n v="5"/>
  </r>
  <r>
    <s v="Cloud Infrastructure"/>
    <s v="Status Reporting"/>
    <x v="3"/>
    <s v="High"/>
    <d v="2025-04-20T00:00:00"/>
    <d v="2025-05-11T00:00:00"/>
    <m/>
    <n v="0.14000000000000001"/>
    <n v="50000"/>
    <n v="7200"/>
    <x v="4"/>
    <n v="42800"/>
    <s v="Within Budget"/>
    <n v="498"/>
  </r>
  <r>
    <s v="Inventory System"/>
    <s v="Retrospective"/>
    <x v="10"/>
    <s v="Medium"/>
    <d v="2024-07-03T00:00:00"/>
    <d v="2024-07-10T00:00:00"/>
    <d v="2024-07-04T00:00:00"/>
    <n v="0"/>
    <n v="15000"/>
    <n v="5400"/>
    <x v="2"/>
    <n v="9600"/>
    <s v="Within Budget"/>
    <n v="-6"/>
  </r>
  <r>
    <s v="Brand Refresh"/>
    <s v="Sprint Planning"/>
    <x v="3"/>
    <s v="Critical"/>
    <d v="2025-05-13T00:00:00"/>
    <d v="2025-05-19T00:00:00"/>
    <m/>
    <n v="0.91"/>
    <n v="9000"/>
    <n v="9200"/>
    <x v="4"/>
    <n v="-200"/>
    <s v="Over Budget"/>
    <n v="490"/>
  </r>
  <r>
    <s v="Mobile App Launch"/>
    <s v="Technical Architecture"/>
    <x v="18"/>
    <s v="High"/>
    <d v="2025-04-09T00:00:00"/>
    <d v="2025-04-27T00:00:00"/>
    <m/>
    <n v="0.22"/>
    <n v="46000"/>
    <n v="8600"/>
    <x v="4"/>
    <n v="37400"/>
    <s v="Within Budget"/>
    <n v="512"/>
  </r>
  <r>
    <s v="HR System Upgrade"/>
    <s v="Communication Plan"/>
    <x v="19"/>
    <s v="High"/>
    <d v="2024-04-12T00:00:00"/>
    <d v="2024-04-20T00:00:00"/>
    <m/>
    <n v="0.46"/>
    <n v="5000"/>
    <n v="3500"/>
    <x v="1"/>
    <n v="1500"/>
    <s v="Within Budget"/>
    <n v="884"/>
  </r>
  <r>
    <s v="Onboarding Automation"/>
    <s v="Accessibility Audit"/>
    <x v="11"/>
    <s v="Low"/>
    <d v="2024-11-06T00:00:00"/>
    <d v="2024-11-20T00:00:00"/>
    <m/>
    <n v="0.61"/>
    <n v="15000"/>
    <n v="9200"/>
    <x v="1"/>
    <n v="5800"/>
    <s v="Within Budget"/>
    <n v="670"/>
  </r>
  <r>
    <s v="Social Media Revamp"/>
    <s v="Frontend Development"/>
    <x v="2"/>
    <s v="Medium"/>
    <d v="2024-07-07T00:00:00"/>
    <d v="2024-08-18T00:00:00"/>
    <d v="2024-07-11T00:00:00"/>
    <n v="0"/>
    <n v="64000"/>
    <n v="16100"/>
    <x v="2"/>
    <n v="47900"/>
    <s v="Within Budget"/>
    <n v="-38"/>
  </r>
  <r>
    <s v="Product Launch Q2"/>
    <s v="API Development"/>
    <x v="9"/>
    <s v="Medium"/>
    <d v="2024-08-23T00:00:00"/>
    <d v="2024-09-07T00:00:00"/>
    <d v="2024-08-31T00:00:00"/>
    <n v="1"/>
    <n v="17000"/>
    <n v="18700"/>
    <x v="0"/>
    <n v="-1700"/>
    <s v="Over Budget"/>
    <n v="-7"/>
  </r>
  <r>
    <s v="Training Platform"/>
    <s v="Stakeholder Interviews"/>
    <x v="1"/>
    <s v="Critical"/>
    <d v="2024-12-07T00:00:00"/>
    <d v="2024-12-20T00:00:00"/>
    <d v="2024-12-20T00:00:00"/>
    <n v="1"/>
    <n v="44000"/>
    <n v="58400"/>
    <x v="0"/>
    <n v="-14400"/>
    <s v="Over Budget"/>
    <n v="0"/>
  </r>
  <r>
    <s v="Email Platform Migration"/>
    <s v="Change Management"/>
    <x v="16"/>
    <s v="Low"/>
    <d v="2024-06-17T00:00:00"/>
    <d v="2024-06-28T00:00:00"/>
    <d v="2024-06-21T00:00:00"/>
    <n v="1"/>
    <n v="22000"/>
    <n v="23300"/>
    <x v="0"/>
    <n v="-1300"/>
    <s v="Over Budget"/>
    <n v="-7"/>
  </r>
  <r>
    <s v="Vendor Portal"/>
    <s v="User Training"/>
    <x v="11"/>
    <s v="Low"/>
    <d v="2025-02-11T00:00:00"/>
    <d v="2025-03-06T00:00:00"/>
    <m/>
    <n v="0.49"/>
    <n v="17000"/>
    <n v="20000"/>
    <x v="1"/>
    <n v="-3000"/>
    <s v="Over Budget"/>
    <n v="564"/>
  </r>
  <r>
    <s v="Inventory System"/>
    <s v="User Training"/>
    <x v="9"/>
    <s v="Critical"/>
    <d v="2024-07-31T00:00:00"/>
    <d v="2024-08-30T00:00:00"/>
    <d v="2024-09-29T00:00:00"/>
    <n v="1"/>
    <n v="41000"/>
    <n v="50700"/>
    <x v="0"/>
    <n v="-9700"/>
    <s v="Over Budget"/>
    <n v="30"/>
  </r>
  <r>
    <s v="Training Platform"/>
    <s v="SEO Optimization"/>
    <x v="2"/>
    <s v="Critical"/>
    <d v="2024-09-08T00:00:00"/>
    <d v="2024-10-01T00:00:00"/>
    <d v="2024-10-25T00:00:00"/>
    <n v="1"/>
    <n v="47000"/>
    <n v="64900"/>
    <x v="0"/>
    <n v="-17900"/>
    <s v="Over Budget"/>
    <n v="24"/>
  </r>
  <r>
    <s v="Email Platform Migration"/>
    <s v="Requirements Gathering"/>
    <x v="9"/>
    <s v="High"/>
    <d v="2024-06-12T00:00:00"/>
    <d v="2024-06-20T00:00:00"/>
    <d v="2024-06-14T00:00:00"/>
    <n v="0.1"/>
    <n v="5000"/>
    <n v="900"/>
    <x v="2"/>
    <n v="4100"/>
    <s v="Within Budget"/>
    <n v="-6"/>
  </r>
  <r>
    <s v="Training Platform"/>
    <s v="A/B Testing Setup"/>
    <x v="2"/>
    <s v="Medium"/>
    <d v="2024-04-17T00:00:00"/>
    <d v="2024-05-16T00:00:00"/>
    <d v="2024-05-09T00:00:00"/>
    <n v="1"/>
    <n v="28000"/>
    <n v="32200"/>
    <x v="0"/>
    <n v="-4200"/>
    <s v="Over Budget"/>
    <n v="-7"/>
  </r>
  <r>
    <s v="Marketing Automation"/>
    <s v="Retrospective"/>
    <x v="5"/>
    <s v="High"/>
    <d v="2024-12-05T00:00:00"/>
    <d v="2024-12-15T00:00:00"/>
    <d v="2024-12-16T00:00:00"/>
    <n v="1"/>
    <n v="11000"/>
    <n v="9800"/>
    <x v="0"/>
    <n v="1200"/>
    <s v="Within Budget"/>
    <n v="1"/>
  </r>
  <r>
    <s v="Payment Integration"/>
    <s v="Security Review"/>
    <x v="14"/>
    <s v="Medium"/>
    <d v="2024-12-27T00:00:00"/>
    <d v="2025-01-17T00:00:00"/>
    <d v="2025-01-28T00:00:00"/>
    <n v="1"/>
    <n v="49000"/>
    <n v="62700"/>
    <x v="0"/>
    <n v="-13700"/>
    <s v="Over Budget"/>
    <n v="11"/>
  </r>
  <r>
    <s v="API Gateway"/>
    <s v="Asset Design"/>
    <x v="12"/>
    <s v="Low"/>
    <d v="2024-08-24T00:00:00"/>
    <d v="2024-09-24T00:00:00"/>
    <d v="2024-09-26T00:00:00"/>
    <n v="1"/>
    <n v="33000"/>
    <n v="29800"/>
    <x v="0"/>
    <n v="3200"/>
    <s v="Within Budget"/>
    <n v="2"/>
  </r>
  <r>
    <s v="Inventory System"/>
    <s v="Analytics Integration"/>
    <x v="19"/>
    <s v="High"/>
    <d v="2024-10-04T00:00:00"/>
    <d v="2024-11-06T00:00:00"/>
    <d v="2024-10-06T00:00:00"/>
    <n v="0.25"/>
    <n v="95000"/>
    <n v="36400"/>
    <x v="2"/>
    <n v="58600"/>
    <s v="Within Budget"/>
    <n v="-31"/>
  </r>
  <r>
    <s v="Office Relocation"/>
    <s v="Vendor Evaluation"/>
    <x v="24"/>
    <s v="Medium"/>
    <d v="2024-03-29T00:00:00"/>
    <d v="2024-04-11T00:00:00"/>
    <d v="2024-04-25T00:00:00"/>
    <n v="1"/>
    <n v="23000"/>
    <n v="29300"/>
    <x v="0"/>
    <n v="-6300"/>
    <s v="Over Budget"/>
    <n v="14"/>
  </r>
  <r>
    <s v="Email Platform Migration"/>
    <s v="Integration Testing"/>
    <x v="20"/>
    <s v="Low"/>
    <d v="2024-02-12T00:00:00"/>
    <d v="2024-03-05T00:00:00"/>
    <m/>
    <n v="0.32"/>
    <n v="49000"/>
    <n v="48500"/>
    <x v="1"/>
    <n v="500"/>
    <s v="Within Budget"/>
    <n v="930"/>
  </r>
  <r>
    <s v="Security Audit"/>
    <s v="Go-Live Preparation"/>
    <x v="5"/>
    <s v="Medium"/>
    <d v="2024-09-18T00:00:00"/>
    <d v="2024-10-21T00:00:00"/>
    <m/>
    <n v="0.75"/>
    <n v="91000"/>
    <n v="71300"/>
    <x v="1"/>
    <n v="19700"/>
    <s v="Within Budget"/>
    <n v="700"/>
  </r>
  <r>
    <s v="Product Launch Q1"/>
    <s v="UI/UX Design"/>
    <x v="11"/>
    <s v="Medium"/>
    <d v="2024-03-01T00:00:00"/>
    <d v="2024-03-24T00:00:00"/>
    <m/>
    <n v="0.62"/>
    <n v="44000"/>
    <n v="43800"/>
    <x v="1"/>
    <n v="200"/>
    <s v="Within Budget"/>
    <n v="911"/>
  </r>
  <r>
    <s v="Security Audit"/>
    <s v="SEO Optimization"/>
    <x v="15"/>
    <s v="High"/>
    <d v="2024-09-25T00:00:00"/>
    <d v="2024-10-20T00:00:00"/>
    <d v="2024-10-21T00:00:00"/>
    <n v="1"/>
    <n v="50000"/>
    <n v="57600"/>
    <x v="0"/>
    <n v="-7600"/>
    <s v="Over Budget"/>
    <n v="1"/>
  </r>
  <r>
    <s v="Cloud Infrastructure"/>
    <s v="Stakeholder Interviews"/>
    <x v="13"/>
    <s v="High"/>
    <d v="2025-04-18T00:00:00"/>
    <d v="2025-05-01T00:00:00"/>
    <m/>
    <n v="0.41"/>
    <n v="12000"/>
    <n v="5700"/>
    <x v="4"/>
    <n v="6300"/>
    <s v="Within Budget"/>
    <n v="508"/>
  </r>
  <r>
    <s v="Mobile App Launch"/>
    <s v="Wireframing"/>
    <x v="15"/>
    <s v="Low"/>
    <d v="2024-03-14T00:00:00"/>
    <d v="2024-04-09T00:00:00"/>
    <d v="2024-05-20T00:00:00"/>
    <n v="1"/>
    <n v="18000"/>
    <n v="15800"/>
    <x v="0"/>
    <n v="2200"/>
    <s v="Within Budget"/>
    <n v="41"/>
  </r>
  <r>
    <s v="Training Platform"/>
    <s v="Code Review"/>
    <x v="4"/>
    <s v="Critical"/>
    <d v="2024-12-11T00:00:00"/>
    <d v="2024-12-28T00:00:00"/>
    <d v="2025-01-04T00:00:00"/>
    <n v="1"/>
    <n v="42000"/>
    <n v="35800"/>
    <x v="0"/>
    <n v="6200"/>
    <s v="Within Budget"/>
    <n v="7"/>
  </r>
  <r>
    <s v="Email Platform Migration"/>
    <s v="Technical Architecture"/>
    <x v="18"/>
    <s v="High"/>
    <d v="2025-05-03T00:00:00"/>
    <d v="2025-05-13T00:00:00"/>
    <m/>
    <n v="0"/>
    <n v="9000"/>
    <n v="0"/>
    <x v="3"/>
    <n v="9000"/>
    <s v="Within Budget"/>
    <n v="496"/>
  </r>
  <r>
    <s v="Payment Integration"/>
    <s v="Technical Architecture"/>
    <x v="19"/>
    <s v="Medium"/>
    <d v="2024-04-24T00:00:00"/>
    <d v="2024-05-11T00:00:00"/>
    <d v="2024-05-25T00:00:00"/>
    <n v="1"/>
    <n v="10000"/>
    <n v="13600"/>
    <x v="0"/>
    <n v="-3600"/>
    <s v="Over Budget"/>
    <n v="14"/>
  </r>
  <r>
    <s v="Data Warehouse Build"/>
    <s v="Content Creation"/>
    <x v="1"/>
    <s v="Low"/>
    <d v="2025-05-24T00:00:00"/>
    <d v="2025-06-25T00:00:00"/>
    <m/>
    <n v="0.76"/>
    <n v="32000"/>
    <n v="28900"/>
    <x v="4"/>
    <n v="3100"/>
    <s v="Within Budget"/>
    <n v="453"/>
  </r>
  <r>
    <s v="Brand Refresh"/>
    <s v="Vendor Evaluation"/>
    <x v="12"/>
    <s v="High"/>
    <d v="2025-02-18T00:00:00"/>
    <d v="2025-03-16T00:00:00"/>
    <m/>
    <n v="0.22"/>
    <n v="35000"/>
    <n v="42300"/>
    <x v="1"/>
    <n v="-7300"/>
    <s v="Over Budget"/>
    <n v="554"/>
  </r>
  <r>
    <s v="Social Media Revamp"/>
    <s v="Iteration Planning"/>
    <x v="8"/>
    <s v="High"/>
    <d v="2025-01-10T00:00:00"/>
    <d v="2025-01-21T00:00:00"/>
    <d v="2025-01-17T00:00:00"/>
    <n v="1"/>
    <n v="27000"/>
    <n v="28100"/>
    <x v="0"/>
    <n v="-1100"/>
    <s v="Over Budget"/>
    <n v="-4"/>
  </r>
  <r>
    <s v="Onboarding Automation"/>
    <s v="Documentation"/>
    <x v="16"/>
    <s v="Medium"/>
    <d v="2025-04-24T00:00:00"/>
    <d v="2025-05-14T00:00:00"/>
    <m/>
    <n v="0"/>
    <n v="35000"/>
    <n v="0"/>
    <x v="3"/>
    <n v="35000"/>
    <s v="Within Budget"/>
    <n v="495"/>
  </r>
  <r>
    <s v="Supply Chain Optimization"/>
    <s v="Contract Negotiation"/>
    <x v="2"/>
    <s v="High"/>
    <d v="2025-01-02T00:00:00"/>
    <d v="2025-01-27T00:00:00"/>
    <m/>
    <n v="0.27"/>
    <n v="31000"/>
    <n v="19500"/>
    <x v="1"/>
    <n v="11500"/>
    <s v="Within Budget"/>
    <n v="602"/>
  </r>
  <r>
    <s v="API Gateway"/>
    <s v="Deployment Planning"/>
    <x v="0"/>
    <s v="Medium"/>
    <d v="2024-02-26T00:00:00"/>
    <d v="2024-03-17T00:00:00"/>
    <d v="2024-03-21T00:00:00"/>
    <n v="1"/>
    <n v="25000"/>
    <n v="25900"/>
    <x v="0"/>
    <n v="-900"/>
    <s v="Over Budget"/>
    <n v="4"/>
  </r>
  <r>
    <s v="Cloud Infrastructure"/>
    <s v="Asset Design"/>
    <x v="9"/>
    <s v="Medium"/>
    <d v="2025-05-02T00:00:00"/>
    <d v="2025-05-09T00:00:00"/>
    <m/>
    <n v="0"/>
    <n v="9000"/>
    <n v="0"/>
    <x v="3"/>
    <n v="9000"/>
    <s v="Within Budget"/>
    <n v="500"/>
  </r>
  <r>
    <s v="Customer Portal"/>
    <s v="Frontend Development"/>
    <x v="18"/>
    <s v="Medium"/>
    <d v="2024-02-18T00:00:00"/>
    <d v="2024-05-10T00:00:00"/>
    <d v="2024-05-11T00:00:00"/>
    <n v="1"/>
    <n v="177000"/>
    <n v="161300"/>
    <x v="0"/>
    <n v="15700"/>
    <s v="Within Budget"/>
    <n v="1"/>
  </r>
  <r>
    <s v="HR System Upgrade"/>
    <s v="Stakeholder Interviews"/>
    <x v="18"/>
    <s v="Critical"/>
    <d v="2024-01-30T00:00:00"/>
    <d v="2024-02-04T00:00:00"/>
    <m/>
    <n v="0.81"/>
    <n v="12000"/>
    <n v="13100"/>
    <x v="1"/>
    <n v="-1100"/>
    <s v="Over Budget"/>
    <n v="960"/>
  </r>
  <r>
    <s v="DevOps Pipeline"/>
    <s v="API Development"/>
    <x v="6"/>
    <s v="Low"/>
    <d v="2024-12-24T00:00:00"/>
    <d v="2025-01-01T00:00:00"/>
    <d v="2025-01-26T00:00:00"/>
    <n v="1"/>
    <n v="8000"/>
    <n v="11100"/>
    <x v="0"/>
    <n v="-3100"/>
    <s v="Over Budget"/>
    <n v="25"/>
  </r>
  <r>
    <s v="ERP Implementation"/>
    <s v="Infrastructure Setup"/>
    <x v="17"/>
    <s v="Low"/>
    <d v="2024-03-07T00:00:00"/>
    <d v="2024-04-11T00:00:00"/>
    <d v="2024-04-16T00:00:00"/>
    <n v="1"/>
    <n v="54000"/>
    <n v="54700"/>
    <x v="0"/>
    <n v="-700"/>
    <s v="Over Budget"/>
    <n v="5"/>
  </r>
  <r>
    <s v="ERP Implementation"/>
    <s v="Integration Testing"/>
    <x v="0"/>
    <s v="Low"/>
    <d v="2024-07-06T00:00:00"/>
    <d v="2024-08-04T00:00:00"/>
    <d v="2024-08-20T00:00:00"/>
    <n v="1"/>
    <n v="30000"/>
    <n v="41800"/>
    <x v="0"/>
    <n v="-11800"/>
    <s v="Over Budget"/>
    <n v="16"/>
  </r>
  <r>
    <s v="Data Warehouse Build"/>
    <s v="Post-Launch Review"/>
    <x v="5"/>
    <s v="Medium"/>
    <d v="2025-05-09T00:00:00"/>
    <d v="2025-06-09T00:00:00"/>
    <m/>
    <n v="0.43"/>
    <n v="97000"/>
    <n v="49800"/>
    <x v="4"/>
    <n v="47200"/>
    <s v="Within Budget"/>
    <n v="469"/>
  </r>
  <r>
    <s v="Customer Portal"/>
    <s v="Market Research"/>
    <x v="12"/>
    <s v="Low"/>
    <d v="2025-02-06T00:00:00"/>
    <d v="2025-02-19T00:00:00"/>
    <d v="2025-02-20T00:00:00"/>
    <n v="1"/>
    <n v="15000"/>
    <n v="17100"/>
    <x v="0"/>
    <n v="-2100"/>
    <s v="Over Budget"/>
    <n v="1"/>
  </r>
  <r>
    <s v="Office Relocation"/>
    <s v="Contract Negotiation"/>
    <x v="16"/>
    <s v="Medium"/>
    <d v="2024-01-13T00:00:00"/>
    <d v="2024-01-28T00:00:00"/>
    <m/>
    <n v="0.82"/>
    <n v="10000"/>
    <n v="5400"/>
    <x v="1"/>
    <n v="4600"/>
    <s v="Within Budget"/>
    <n v="967"/>
  </r>
  <r>
    <s v="Website Redesign"/>
    <s v="Iteration Planning"/>
    <x v="24"/>
    <s v="Low"/>
    <d v="2024-06-12T00:00:00"/>
    <d v="2024-07-16T00:00:00"/>
    <d v="2024-07-29T00:00:00"/>
    <n v="1"/>
    <n v="89000"/>
    <n v="124500"/>
    <x v="0"/>
    <n v="-35500"/>
    <s v="Over Budget"/>
    <n v="13"/>
  </r>
  <r>
    <s v="Email Platform Migration"/>
    <s v="Requirements Gathering"/>
    <x v="23"/>
    <s v="High"/>
    <d v="2024-07-24T00:00:00"/>
    <d v="2024-08-06T00:00:00"/>
    <d v="2024-08-21T00:00:00"/>
    <n v="1"/>
    <n v="38000"/>
    <n v="41000"/>
    <x v="0"/>
    <n v="-3000"/>
    <s v="Over Budget"/>
    <n v="15"/>
  </r>
  <r>
    <s v="Cloud Infrastructure"/>
    <s v="Vendor Evaluation"/>
    <x v="19"/>
    <s v="Low"/>
    <d v="2024-04-08T00:00:00"/>
    <d v="2024-04-23T00:00:00"/>
    <d v="2024-04-25T00:00:00"/>
    <n v="1"/>
    <n v="19000"/>
    <n v="20000"/>
    <x v="0"/>
    <n v="-1000"/>
    <s v="Over Budget"/>
    <n v="2"/>
  </r>
  <r>
    <s v="Social Media Revamp"/>
    <s v="Infrastructure Setup"/>
    <x v="12"/>
    <s v="Medium"/>
    <d v="2025-05-08T00:00:00"/>
    <d v="2025-05-29T00:00:00"/>
    <m/>
    <n v="0"/>
    <n v="38000"/>
    <n v="0"/>
    <x v="3"/>
    <n v="38000"/>
    <s v="Within Budget"/>
    <n v="480"/>
  </r>
  <r>
    <s v="Customer Portal"/>
    <s v="Accessibility Audit"/>
    <x v="19"/>
    <s v="Critical"/>
    <d v="2024-01-20T00:00:00"/>
    <d v="2024-02-10T00:00:00"/>
    <d v="2024-02-24T00:00:00"/>
    <n v="1"/>
    <n v="23000"/>
    <n v="22900"/>
    <x v="0"/>
    <n v="100"/>
    <s v="Within Budget"/>
    <n v="14"/>
  </r>
  <r>
    <s v="DevOps Pipeline"/>
    <s v="Retrospective"/>
    <x v="22"/>
    <s v="High"/>
    <d v="2024-12-09T00:00:00"/>
    <d v="2024-12-23T00:00:00"/>
    <d v="2025-01-08T00:00:00"/>
    <n v="1"/>
    <n v="42000"/>
    <n v="58000"/>
    <x v="0"/>
    <n v="-16000"/>
    <s v="Over Budget"/>
    <n v="16"/>
  </r>
  <r>
    <s v="Cloud Infrastructure"/>
    <s v="Risk Assessment"/>
    <x v="1"/>
    <s v="High"/>
    <d v="2025-02-05T00:00:00"/>
    <d v="2025-03-06T00:00:00"/>
    <m/>
    <n v="0.25"/>
    <n v="24000"/>
    <n v="11600"/>
    <x v="5"/>
    <n v="12400"/>
    <s v="Within Budget"/>
    <n v="564"/>
  </r>
  <r>
    <s v="Supply Chain Optimization"/>
    <s v="Budget Review"/>
    <x v="24"/>
    <s v="Critical"/>
    <d v="2024-07-11T00:00:00"/>
    <d v="2024-07-30T00:00:00"/>
    <d v="2024-08-16T00:00:00"/>
    <n v="1"/>
    <n v="29000"/>
    <n v="35400"/>
    <x v="0"/>
    <n v="-6400"/>
    <s v="Over Budget"/>
    <n v="17"/>
  </r>
  <r>
    <s v="Training Platform"/>
    <s v="Documentation"/>
    <x v="0"/>
    <s v="High"/>
    <d v="2025-03-25T00:00:00"/>
    <d v="2025-04-08T00:00:00"/>
    <m/>
    <n v="0.88"/>
    <n v="41000"/>
    <n v="34600"/>
    <x v="4"/>
    <n v="6400"/>
    <s v="Within Budget"/>
    <n v="531"/>
  </r>
  <r>
    <s v="Customer Portal"/>
    <s v="Go-Live Preparation"/>
    <x v="3"/>
    <s v="Medium"/>
    <d v="2024-07-12T00:00:00"/>
    <d v="2024-07-23T00:00:00"/>
    <d v="2024-08-05T00:00:00"/>
    <n v="1"/>
    <n v="15000"/>
    <n v="16100"/>
    <x v="0"/>
    <n v="-1100"/>
    <s v="Over Budget"/>
    <n v="13"/>
  </r>
  <r>
    <s v="Product Launch Q2"/>
    <s v="Monitoring Setup"/>
    <x v="10"/>
    <s v="High"/>
    <d v="2025-02-04T00:00:00"/>
    <d v="2025-03-04T00:00:00"/>
    <m/>
    <n v="0.68"/>
    <n v="37000"/>
    <n v="12800"/>
    <x v="5"/>
    <n v="24200"/>
    <s v="Within Budget"/>
    <n v="566"/>
  </r>
  <r>
    <s v="Payment Integration"/>
    <s v="Performance Testing"/>
    <x v="6"/>
    <s v="Medium"/>
    <d v="2024-09-17T00:00:00"/>
    <d v="2024-10-07T00:00:00"/>
    <m/>
    <n v="0.3"/>
    <n v="36000"/>
    <n v="23200"/>
    <x v="1"/>
    <n v="12800"/>
    <s v="Within Budget"/>
    <n v="714"/>
  </r>
  <r>
    <s v="DevOps Pipeline"/>
    <s v="Feedback Collection"/>
    <x v="4"/>
    <s v="Medium"/>
    <d v="2025-06-24T00:00:00"/>
    <d v="2025-07-06T00:00:00"/>
    <m/>
    <n v="0.38"/>
    <n v="29000"/>
    <n v="12800"/>
    <x v="4"/>
    <n v="16200"/>
    <s v="Within Budget"/>
    <n v="442"/>
  </r>
  <r>
    <s v="Product Launch Q2"/>
    <s v="Frontend Development"/>
    <x v="23"/>
    <s v="Low"/>
    <d v="2025-04-27T00:00:00"/>
    <d v="2025-07-13T00:00:00"/>
    <m/>
    <n v="0"/>
    <n v="159000"/>
    <n v="0"/>
    <x v="3"/>
    <n v="159000"/>
    <s v="Within Budget"/>
    <n v="435"/>
  </r>
  <r>
    <s v="Email Platform Migration"/>
    <s v="Technical Architecture"/>
    <x v="20"/>
    <s v="Medium"/>
    <d v="2024-05-24T00:00:00"/>
    <d v="2024-06-21T00:00:00"/>
    <d v="2024-06-06T00:00:00"/>
    <n v="0.15"/>
    <n v="48000"/>
    <n v="13300"/>
    <x v="2"/>
    <n v="34700"/>
    <s v="Within Budget"/>
    <n v="-15"/>
  </r>
  <r>
    <s v="Annual Report"/>
    <s v="Wireframing"/>
    <x v="20"/>
    <s v="Medium"/>
    <d v="2025-03-07T00:00:00"/>
    <d v="2025-04-04T00:00:00"/>
    <m/>
    <n v="0.79"/>
    <n v="40000"/>
    <n v="34300"/>
    <x v="4"/>
    <n v="5700"/>
    <s v="Within Budget"/>
    <n v="535"/>
  </r>
  <r>
    <s v="Data Warehouse Build"/>
    <s v="Feedback Collection"/>
    <x v="10"/>
    <s v="Medium"/>
    <d v="2024-11-26T00:00:00"/>
    <d v="2024-12-27T00:00:00"/>
    <d v="2025-02-08T00:00:00"/>
    <n v="1"/>
    <n v="60000"/>
    <n v="64500"/>
    <x v="0"/>
    <n v="-4500"/>
    <s v="Over Budget"/>
    <n v="43"/>
  </r>
  <r>
    <s v="HR System Upgrade"/>
    <s v="Analytics Integration"/>
    <x v="15"/>
    <s v="Critical"/>
    <d v="2024-11-17T00:00:00"/>
    <d v="2024-12-19T00:00:00"/>
    <d v="2024-11-22T00:00:00"/>
    <n v="0.25"/>
    <n v="94000"/>
    <n v="10600"/>
    <x v="2"/>
    <n v="83400"/>
    <s v="Within Budget"/>
    <n v="-27"/>
  </r>
  <r>
    <s v="DevOps Pipeline"/>
    <s v="Market Research"/>
    <x v="16"/>
    <s v="High"/>
    <d v="2024-03-30T00:00:00"/>
    <d v="2024-04-05T00:00:00"/>
    <d v="2024-03-29T00:00:00"/>
    <n v="1"/>
    <n v="4000"/>
    <n v="4000"/>
    <x v="0"/>
    <n v="0"/>
    <s v="Within Budget"/>
    <n v="-7"/>
  </r>
  <r>
    <s v="Analytics Dashboard"/>
    <s v="Contract Negotiation"/>
    <x v="5"/>
    <s v="Medium"/>
    <d v="2024-07-22T00:00:00"/>
    <d v="2024-08-15T00:00:00"/>
    <m/>
    <n v="0.83"/>
    <n v="26000"/>
    <n v="31900"/>
    <x v="1"/>
    <n v="-5900"/>
    <s v="Over Budget"/>
    <n v="767"/>
  </r>
  <r>
    <s v="CRM Migration"/>
    <s v="Security Review"/>
    <x v="18"/>
    <s v="Medium"/>
    <d v="2024-06-17T00:00:00"/>
    <d v="2024-06-29T00:00:00"/>
    <d v="2024-08-05T00:00:00"/>
    <n v="1"/>
    <n v="27000"/>
    <n v="25100"/>
    <x v="0"/>
    <n v="1900"/>
    <s v="Within Budget"/>
    <n v="37"/>
  </r>
  <r>
    <s v="Chatbot Development"/>
    <s v="Frontend Development"/>
    <x v="11"/>
    <s v="Low"/>
    <d v="2024-08-07T00:00:00"/>
    <d v="2024-09-09T00:00:00"/>
    <m/>
    <n v="0.78"/>
    <n v="67000"/>
    <n v="66900"/>
    <x v="1"/>
    <n v="100"/>
    <s v="Within Budget"/>
    <n v="742"/>
  </r>
  <r>
    <s v="Payment Integration"/>
    <s v="Vendor Evaluation"/>
    <x v="21"/>
    <s v="High"/>
    <d v="2024-11-25T00:00:00"/>
    <d v="2024-12-15T00:00:00"/>
    <d v="2024-12-10T00:00:00"/>
    <n v="1"/>
    <n v="27000"/>
    <n v="25500"/>
    <x v="0"/>
    <n v="1500"/>
    <s v="Within Budget"/>
    <n v="-5"/>
  </r>
  <r>
    <s v="Compliance Overhaul"/>
    <s v="Database Design"/>
    <x v="7"/>
    <s v="Medium"/>
    <d v="2024-08-21T00:00:00"/>
    <d v="2024-09-27T00:00:00"/>
    <m/>
    <n v="0.71"/>
    <n v="84000"/>
    <n v="48500"/>
    <x v="1"/>
    <n v="35500"/>
    <s v="Within Budget"/>
    <n v="724"/>
  </r>
  <r>
    <s v="Customer Portal"/>
    <s v="Status Reporting"/>
    <x v="19"/>
    <s v="Low"/>
    <d v="2025-04-01T00:00:00"/>
    <d v="2025-05-04T00:00:00"/>
    <m/>
    <n v="0"/>
    <n v="81000"/>
    <n v="0"/>
    <x v="3"/>
    <n v="81000"/>
    <s v="Within Budget"/>
    <n v="505"/>
  </r>
  <r>
    <s v="Training Platform"/>
    <s v="Sprint Planning"/>
    <x v="17"/>
    <s v="High"/>
    <d v="2024-11-10T00:00:00"/>
    <d v="2024-11-24T00:00:00"/>
    <m/>
    <n v="0.27"/>
    <n v="18000"/>
    <n v="9300"/>
    <x v="1"/>
    <n v="8700"/>
    <s v="Within Budget"/>
    <n v="666"/>
  </r>
  <r>
    <s v="API Gateway"/>
    <s v="Analytics Integration"/>
    <x v="19"/>
    <s v="Critical"/>
    <d v="2025-01-05T00:00:00"/>
    <d v="2025-01-12T00:00:00"/>
    <m/>
    <n v="0.4"/>
    <n v="5000"/>
    <n v="6400"/>
    <x v="1"/>
    <n v="-1400"/>
    <s v="Over Budget"/>
    <n v="617"/>
  </r>
  <r>
    <s v="Email Platform Migration"/>
    <s v="Quality Assurance"/>
    <x v="5"/>
    <s v="Medium"/>
    <d v="2025-05-18T00:00:00"/>
    <d v="2025-06-21T00:00:00"/>
    <m/>
    <n v="0"/>
    <n v="72000"/>
    <n v="0"/>
    <x v="3"/>
    <n v="72000"/>
    <s v="Within Budget"/>
    <n v="457"/>
  </r>
  <r>
    <s v="Cloud Infrastructure"/>
    <s v="Prototype Development"/>
    <x v="0"/>
    <s v="Medium"/>
    <d v="2024-08-07T00:00:00"/>
    <d v="2024-08-29T00:00:00"/>
    <m/>
    <n v="0.3"/>
    <n v="44000"/>
    <n v="47600"/>
    <x v="1"/>
    <n v="-3600"/>
    <s v="Over Budget"/>
    <n v="753"/>
  </r>
  <r>
    <s v="Supply Chain Optimization"/>
    <s v="Post-Launch Review"/>
    <x v="16"/>
    <s v="High"/>
    <d v="2024-06-21T00:00:00"/>
    <d v="2024-07-11T00:00:00"/>
    <d v="2024-07-27T00:00:00"/>
    <n v="1"/>
    <n v="45000"/>
    <n v="60600"/>
    <x v="0"/>
    <n v="-15600"/>
    <s v="Over Budget"/>
    <n v="16"/>
  </r>
  <r>
    <s v="Brand Refresh"/>
    <s v="Deployment Planning"/>
    <x v="4"/>
    <s v="Low"/>
    <d v="2024-07-08T00:00:00"/>
    <d v="2024-07-19T00:00:00"/>
    <d v="2024-07-09T00:00:00"/>
    <n v="0.15"/>
    <n v="47000"/>
    <n v="3300"/>
    <x v="2"/>
    <n v="43700"/>
    <s v="Within Budget"/>
    <n v="-10"/>
  </r>
  <r>
    <s v="Marketing Automation"/>
    <s v="Unit Testing"/>
    <x v="18"/>
    <s v="High"/>
    <d v="2024-07-30T00:00:00"/>
    <d v="2024-08-24T00:00:00"/>
    <d v="2024-08-18T00:00:00"/>
    <n v="1"/>
    <n v="48000"/>
    <n v="44200"/>
    <x v="0"/>
    <n v="3800"/>
    <s v="Within Budget"/>
    <n v="-6"/>
  </r>
  <r>
    <s v="ERP Implementation"/>
    <s v="Risk Assessment"/>
    <x v="24"/>
    <s v="High"/>
    <d v="2024-10-29T00:00:00"/>
    <d v="2024-11-17T00:00:00"/>
    <d v="2024-11-17T00:00:00"/>
    <n v="1"/>
    <n v="30000"/>
    <n v="40200"/>
    <x v="0"/>
    <n v="-10200"/>
    <s v="Over Budget"/>
    <n v="0"/>
  </r>
  <r>
    <s v="Analytics Dashboard"/>
    <s v="Retrospective"/>
    <x v="4"/>
    <s v="High"/>
    <d v="2024-09-19T00:00:00"/>
    <d v="2024-09-27T00:00:00"/>
    <d v="2024-09-27T00:00:00"/>
    <n v="1"/>
    <n v="3000"/>
    <n v="2700"/>
    <x v="0"/>
    <n v="300"/>
    <s v="Within Budget"/>
    <n v="0"/>
  </r>
  <r>
    <s v="Compliance Overhaul"/>
    <s v="Retrospective"/>
    <x v="23"/>
    <s v="Critical"/>
    <d v="2025-03-20T00:00:00"/>
    <d v="2025-04-03T00:00:00"/>
    <m/>
    <n v="0"/>
    <n v="29000"/>
    <n v="0"/>
    <x v="3"/>
    <n v="29000"/>
    <s v="Within Budget"/>
    <n v="536"/>
  </r>
  <r>
    <s v="Office Relocation"/>
    <s v="Risk Assessment"/>
    <x v="16"/>
    <s v="High"/>
    <d v="2024-12-29T00:00:00"/>
    <d v="2025-01-09T00:00:00"/>
    <d v="2024-12-31T00:00:00"/>
    <n v="0.1"/>
    <n v="33000"/>
    <n v="10400"/>
    <x v="2"/>
    <n v="22600"/>
    <s v="Within Budget"/>
    <n v="-9"/>
  </r>
  <r>
    <s v="Product Launch Q1"/>
    <s v="Quality Assurance"/>
    <x v="16"/>
    <s v="Low"/>
    <d v="2024-09-28T00:00:00"/>
    <d v="2024-10-29T00:00:00"/>
    <d v="2024-11-11T00:00:00"/>
    <n v="1"/>
    <n v="39000"/>
    <n v="52500"/>
    <x v="0"/>
    <n v="-13500"/>
    <s v="Over Budget"/>
    <n v="13"/>
  </r>
  <r>
    <s v="Chatbot Development"/>
    <s v="Frontend Development"/>
    <x v="3"/>
    <s v="Medium"/>
    <d v="2025-02-16T00:00:00"/>
    <d v="2025-03-31T00:00:00"/>
    <m/>
    <n v="0.34"/>
    <n v="71000"/>
    <n v="23800"/>
    <x v="4"/>
    <n v="47200"/>
    <s v="Within Budget"/>
    <n v="539"/>
  </r>
  <r>
    <s v="CRM Migration"/>
    <s v="Contract Negotiation"/>
    <x v="22"/>
    <s v="Low"/>
    <d v="2024-02-24T00:00:00"/>
    <d v="2024-03-17T00:00:00"/>
    <d v="2024-04-02T00:00:00"/>
    <n v="1"/>
    <n v="27000"/>
    <n v="28000"/>
    <x v="0"/>
    <n v="-1000"/>
    <s v="Over Budget"/>
    <n v="16"/>
  </r>
  <r>
    <s v="Marketing Automation"/>
    <s v="Feedback Collection"/>
    <x v="9"/>
    <s v="Medium"/>
    <d v="2025-03-09T00:00:00"/>
    <d v="2025-04-06T00:00:00"/>
    <m/>
    <n v="0.82"/>
    <n v="20000"/>
    <n v="15600"/>
    <x v="4"/>
    <n v="4400"/>
    <s v="Within Budget"/>
    <n v="533"/>
  </r>
  <r>
    <s v="Supply Chain Optimization"/>
    <s v="System Configuration"/>
    <x v="2"/>
    <s v="Critical"/>
    <d v="2024-04-13T00:00:00"/>
    <d v="2024-05-13T00:00:00"/>
    <d v="2024-05-14T00:00:00"/>
    <n v="1"/>
    <n v="28000"/>
    <n v="32500"/>
    <x v="0"/>
    <n v="-4500"/>
    <s v="Over Budget"/>
    <n v="1"/>
  </r>
  <r>
    <s v="HR System Upgrade"/>
    <s v="Infrastructure Setup"/>
    <x v="21"/>
    <s v="Critical"/>
    <d v="2024-09-26T00:00:00"/>
    <d v="2024-10-27T00:00:00"/>
    <d v="2024-10-25T00:00:00"/>
    <n v="1"/>
    <n v="94000"/>
    <n v="121600"/>
    <x v="0"/>
    <n v="-27600"/>
    <s v="Over Budget"/>
    <n v="-2"/>
  </r>
  <r>
    <s v="Product Launch Q2"/>
    <s v="Quality Assurance"/>
    <x v="15"/>
    <s v="High"/>
    <d v="2024-01-19T00:00:00"/>
    <d v="2024-02-01T00:00:00"/>
    <d v="2024-02-22T00:00:00"/>
    <n v="1"/>
    <n v="34000"/>
    <n v="35400"/>
    <x v="0"/>
    <n v="-1400"/>
    <s v="Over Budget"/>
    <n v="21"/>
  </r>
  <r>
    <s v="Mobile App Launch"/>
    <s v="Integration Testing"/>
    <x v="7"/>
    <s v="High"/>
    <d v="2024-04-02T00:00:00"/>
    <d v="2024-04-17T00:00:00"/>
    <m/>
    <n v="0.39"/>
    <n v="31000"/>
    <n v="39200"/>
    <x v="1"/>
    <n v="-8200"/>
    <s v="Over Budget"/>
    <n v="887"/>
  </r>
  <r>
    <s v="Cloud Infrastructure"/>
    <s v="Stakeholder Interviews"/>
    <x v="2"/>
    <s v="High"/>
    <d v="2024-04-12T00:00:00"/>
    <d v="2024-04-23T00:00:00"/>
    <d v="2024-04-15T00:00:00"/>
    <n v="0.25"/>
    <n v="39000"/>
    <n v="4000"/>
    <x v="2"/>
    <n v="35000"/>
    <s v="Within Budget"/>
    <n v="-8"/>
  </r>
  <r>
    <s v="Vendor Portal"/>
    <s v="Sprint Planning"/>
    <x v="21"/>
    <s v="Medium"/>
    <d v="2024-03-22T00:00:00"/>
    <d v="2024-03-29T00:00:00"/>
    <d v="2024-03-24T00:00:00"/>
    <n v="0.1"/>
    <n v="4000"/>
    <n v="1300"/>
    <x v="2"/>
    <n v="2700"/>
    <s v="Within Budget"/>
    <n v="-5"/>
  </r>
  <r>
    <s v="Supply Chain Optimization"/>
    <s v="Backend Development"/>
    <x v="12"/>
    <s v="High"/>
    <d v="2024-02-13T00:00:00"/>
    <d v="2024-04-27T00:00:00"/>
    <d v="2024-02-26T00:00:00"/>
    <n v="0.3"/>
    <n v="196000"/>
    <n v="27900"/>
    <x v="2"/>
    <n v="168100"/>
    <s v="Within Budget"/>
    <n v="-61"/>
  </r>
  <r>
    <s v="Data Warehouse Build"/>
    <s v="Vendor Evaluation"/>
    <x v="9"/>
    <s v="Medium"/>
    <d v="2025-04-02T00:00:00"/>
    <d v="2025-04-15T00:00:00"/>
    <m/>
    <n v="0"/>
    <n v="47000"/>
    <n v="0"/>
    <x v="3"/>
    <n v="47000"/>
    <s v="Within Budget"/>
    <n v="524"/>
  </r>
  <r>
    <s v="HR System Upgrade"/>
    <s v="Vendor Evaluation"/>
    <x v="16"/>
    <s v="Medium"/>
    <d v="2024-04-07T00:00:00"/>
    <d v="2024-05-09T00:00:00"/>
    <m/>
    <n v="0.51"/>
    <n v="36000"/>
    <n v="30500"/>
    <x v="1"/>
    <n v="5500"/>
    <s v="Within Budget"/>
    <n v="865"/>
  </r>
  <r>
    <s v="Mobile App Launch"/>
    <s v="Prototype Development"/>
    <x v="4"/>
    <s v="High"/>
    <d v="2025-06-18T00:00:00"/>
    <d v="2025-07-14T00:00:00"/>
    <m/>
    <n v="0"/>
    <n v="18000"/>
    <n v="0"/>
    <x v="3"/>
    <n v="18000"/>
    <s v="Within Budget"/>
    <n v="434"/>
  </r>
  <r>
    <s v="Onboarding Automation"/>
    <s v="Deployment Planning"/>
    <x v="10"/>
    <s v="Medium"/>
    <d v="2024-12-11T00:00:00"/>
    <d v="2025-01-08T00:00:00"/>
    <d v="2025-01-24T00:00:00"/>
    <n v="1"/>
    <n v="27000"/>
    <n v="34200"/>
    <x v="0"/>
    <n v="-7200"/>
    <s v="Over Budget"/>
    <n v="16"/>
  </r>
  <r>
    <s v="Inventory System"/>
    <s v="Change Management"/>
    <x v="4"/>
    <s v="High"/>
    <d v="2024-10-28T00:00:00"/>
    <d v="2024-11-23T00:00:00"/>
    <d v="2025-01-06T00:00:00"/>
    <n v="1"/>
    <n v="41000"/>
    <n v="46800"/>
    <x v="0"/>
    <n v="-5800"/>
    <s v="Over Budget"/>
    <n v="44"/>
  </r>
  <r>
    <s v="API Gateway"/>
    <s v="Status Reporting"/>
    <x v="0"/>
    <s v="Medium"/>
    <d v="2024-01-29T00:00:00"/>
    <d v="2024-02-09T00:00:00"/>
    <d v="2024-03-16T00:00:00"/>
    <n v="1"/>
    <n v="15000"/>
    <n v="19500"/>
    <x v="0"/>
    <n v="-4500"/>
    <s v="Over Budget"/>
    <n v="36"/>
  </r>
  <r>
    <s v="Product Launch Q1"/>
    <s v="Sprint Planning"/>
    <x v="22"/>
    <s v="Medium"/>
    <d v="2024-08-08T00:00:00"/>
    <d v="2024-08-20T00:00:00"/>
    <d v="2024-08-21T00:00:00"/>
    <n v="1"/>
    <n v="28000"/>
    <n v="35400"/>
    <x v="0"/>
    <n v="-7400"/>
    <s v="Over Budget"/>
    <n v="1"/>
  </r>
  <r>
    <s v="API Gateway"/>
    <s v="Requirements Gathering"/>
    <x v="20"/>
    <s v="Medium"/>
    <d v="2025-04-26T00:00:00"/>
    <d v="2025-05-05T00:00:00"/>
    <m/>
    <n v="0"/>
    <n v="6000"/>
    <n v="0"/>
    <x v="3"/>
    <n v="6000"/>
    <s v="Within Budget"/>
    <n v="504"/>
  </r>
  <r>
    <s v="Marketing Automation"/>
    <s v="Content Creation"/>
    <x v="11"/>
    <s v="Medium"/>
    <d v="2025-02-23T00:00:00"/>
    <d v="2025-03-03T00:00:00"/>
    <m/>
    <n v="0.5"/>
    <n v="15000"/>
    <n v="6000"/>
    <x v="4"/>
    <n v="9000"/>
    <s v="Within Budget"/>
    <n v="567"/>
  </r>
  <r>
    <s v="Product Launch Q1"/>
    <s v="Training Materials"/>
    <x v="11"/>
    <s v="High"/>
    <d v="2024-12-05T00:00:00"/>
    <d v="2025-01-03T00:00:00"/>
    <m/>
    <n v="0.34"/>
    <n v="39000"/>
    <n v="31900"/>
    <x v="1"/>
    <n v="7100"/>
    <s v="Within Budget"/>
    <n v="626"/>
  </r>
  <r>
    <s v="HR System Upgrade"/>
    <s v="User Training"/>
    <x v="0"/>
    <s v="Low"/>
    <d v="2025-02-24T00:00:00"/>
    <d v="2025-03-06T00:00:00"/>
    <m/>
    <n v="0.62"/>
    <n v="2000"/>
    <n v="800"/>
    <x v="5"/>
    <n v="1200"/>
    <s v="Within Budget"/>
    <n v="564"/>
  </r>
  <r>
    <s v="HR System Upgrade"/>
    <s v="Prototype Development"/>
    <x v="24"/>
    <s v="Critical"/>
    <d v="2024-10-11T00:00:00"/>
    <d v="2024-11-21T00:00:00"/>
    <d v="2024-12-16T00:00:00"/>
    <n v="1"/>
    <n v="86000"/>
    <n v="75200"/>
    <x v="0"/>
    <n v="10800"/>
    <s v="Within Budget"/>
    <n v="25"/>
  </r>
  <r>
    <s v="Product Launch Q2"/>
    <s v="Change Management"/>
    <x v="8"/>
    <s v="Medium"/>
    <d v="2024-05-23T00:00:00"/>
    <d v="2024-06-17T00:00:00"/>
    <d v="2024-07-05T00:00:00"/>
    <n v="1"/>
    <n v="26000"/>
    <n v="28600"/>
    <x v="0"/>
    <n v="-2600"/>
    <s v="Over Budget"/>
    <n v="18"/>
  </r>
  <r>
    <s v="Website Redesign"/>
    <s v="Deployment Planning"/>
    <x v="12"/>
    <s v="High"/>
    <d v="2024-09-27T00:00:00"/>
    <d v="2024-10-21T00:00:00"/>
    <m/>
    <n v="0.32"/>
    <n v="18000"/>
    <n v="14700"/>
    <x v="1"/>
    <n v="3300"/>
    <s v="Within Budget"/>
    <n v="700"/>
  </r>
  <r>
    <s v="Security Audit"/>
    <s v="API Development"/>
    <x v="22"/>
    <s v="Low"/>
    <d v="2024-02-04T00:00:00"/>
    <d v="2024-02-13T00:00:00"/>
    <d v="2024-02-15T00:00:00"/>
    <n v="1"/>
    <n v="9000"/>
    <n v="8800"/>
    <x v="0"/>
    <n v="200"/>
    <s v="Within Budget"/>
    <n v="2"/>
  </r>
  <r>
    <s v="Customer Portal"/>
    <s v="Code Review"/>
    <x v="7"/>
    <s v="Medium"/>
    <d v="2024-12-24T00:00:00"/>
    <d v="2025-01-14T00:00:00"/>
    <d v="2025-01-09T00:00:00"/>
    <n v="1"/>
    <n v="14000"/>
    <n v="17300"/>
    <x v="0"/>
    <n v="-3300"/>
    <s v="Over Budget"/>
    <n v="-5"/>
  </r>
  <r>
    <s v="Email Platform Migration"/>
    <s v="Analytics Integration"/>
    <x v="4"/>
    <s v="Critical"/>
    <d v="2025-01-13T00:00:00"/>
    <d v="2025-02-13T00:00:00"/>
    <d v="2025-02-28T00:00:00"/>
    <n v="1"/>
    <n v="77000"/>
    <n v="66000"/>
    <x v="0"/>
    <n v="11000"/>
    <s v="Within Budget"/>
    <n v="15"/>
  </r>
  <r>
    <s v="Office Relocation"/>
    <s v="UI/UX Design"/>
    <x v="17"/>
    <s v="High"/>
    <d v="2025-04-09T00:00:00"/>
    <d v="2025-05-22T00:00:00"/>
    <m/>
    <n v="0"/>
    <n v="67000"/>
    <n v="0"/>
    <x v="3"/>
    <n v="67000"/>
    <s v="Within Budget"/>
    <n v="487"/>
  </r>
  <r>
    <s v="Email Platform Migration"/>
    <s v="Prototype Development"/>
    <x v="22"/>
    <s v="Low"/>
    <d v="2025-01-28T00:00:00"/>
    <d v="2025-02-20T00:00:00"/>
    <m/>
    <n v="0.6"/>
    <n v="37000"/>
    <n v="6000"/>
    <x v="5"/>
    <n v="31000"/>
    <s v="Within Budget"/>
    <n v="578"/>
  </r>
  <r>
    <s v="Inventory System"/>
    <s v="Communication Plan"/>
    <x v="13"/>
    <s v="Low"/>
    <d v="2024-01-21T00:00:00"/>
    <d v="2024-02-24T00:00:00"/>
    <d v="2024-02-03T00:00:00"/>
    <n v="0.3"/>
    <n v="91000"/>
    <n v="8600"/>
    <x v="2"/>
    <n v="82400"/>
    <s v="Within Budget"/>
    <n v="-21"/>
  </r>
  <r>
    <s v="ERP Implementation"/>
    <s v="Code Review"/>
    <x v="15"/>
    <s v="Low"/>
    <d v="2024-07-21T00:00:00"/>
    <d v="2024-08-17T00:00:00"/>
    <d v="2024-08-19T00:00:00"/>
    <n v="1"/>
    <n v="36000"/>
    <n v="48700"/>
    <x v="0"/>
    <n v="-12700"/>
    <s v="Over Budget"/>
    <n v="2"/>
  </r>
  <r>
    <s v="Analytics Dashboard"/>
    <s v="Analytics Integration"/>
    <x v="8"/>
    <s v="Low"/>
    <d v="2024-09-09T00:00:00"/>
    <d v="2024-10-11T00:00:00"/>
    <d v="2024-09-19T00:00:00"/>
    <n v="0.2"/>
    <n v="55000"/>
    <n v="19000"/>
    <x v="2"/>
    <n v="36000"/>
    <s v="Within Budget"/>
    <n v="-22"/>
  </r>
  <r>
    <s v="Performance Review System"/>
    <s v="Stakeholder Interviews"/>
    <x v="16"/>
    <s v="Low"/>
    <d v="2024-07-18T00:00:00"/>
    <d v="2024-07-30T00:00:00"/>
    <d v="2024-07-25T00:00:00"/>
    <n v="1"/>
    <n v="12000"/>
    <n v="14000"/>
    <x v="0"/>
    <n v="-2000"/>
    <s v="Over Budget"/>
    <n v="-5"/>
  </r>
  <r>
    <s v="Product Launch Q2"/>
    <s v="Code Review"/>
    <x v="14"/>
    <s v="Low"/>
    <d v="2025-06-16T00:00:00"/>
    <d v="2025-07-05T00:00:00"/>
    <m/>
    <n v="0"/>
    <n v="17000"/>
    <n v="0"/>
    <x v="3"/>
    <n v="17000"/>
    <s v="Within Budget"/>
    <n v="443"/>
  </r>
  <r>
    <s v="Chatbot Development"/>
    <s v="Training Materials"/>
    <x v="7"/>
    <s v="Medium"/>
    <d v="2024-12-03T00:00:00"/>
    <d v="2024-12-24T00:00:00"/>
    <d v="2024-12-12T00:00:00"/>
    <n v="0"/>
    <n v="11000"/>
    <n v="2300"/>
    <x v="2"/>
    <n v="8700"/>
    <s v="Within Budget"/>
    <n v="-12"/>
  </r>
  <r>
    <s v="API Gateway"/>
    <s v="Security Review"/>
    <x v="11"/>
    <s v="High"/>
    <d v="2024-07-21T00:00:00"/>
    <d v="2024-08-23T00:00:00"/>
    <d v="2024-08-24T00:00:00"/>
    <n v="1"/>
    <n v="52000"/>
    <n v="44400"/>
    <x v="0"/>
    <n v="7600"/>
    <s v="Within Budget"/>
    <n v="1"/>
  </r>
  <r>
    <s v="Inventory System"/>
    <s v="Accessibility Audit"/>
    <x v="14"/>
    <s v="High"/>
    <d v="2024-06-03T00:00:00"/>
    <d v="2024-06-20T00:00:00"/>
    <d v="2024-06-16T00:00:00"/>
    <n v="1"/>
    <n v="48000"/>
    <n v="45900"/>
    <x v="0"/>
    <n v="2100"/>
    <s v="Within Budget"/>
    <n v="-4"/>
  </r>
  <r>
    <s v="Mobile App Launch"/>
    <s v="Security Review"/>
    <x v="19"/>
    <s v="Critical"/>
    <d v="2024-02-25T00:00:00"/>
    <d v="2024-03-23T00:00:00"/>
    <d v="2024-03-29T00:00:00"/>
    <n v="1"/>
    <n v="16000"/>
    <n v="18800"/>
    <x v="0"/>
    <n v="-2800"/>
    <s v="Over Budget"/>
    <n v="6"/>
  </r>
  <r>
    <s v="Onboarding Automation"/>
    <s v="Go-Live Preparation"/>
    <x v="7"/>
    <s v="Medium"/>
    <d v="2024-04-22T00:00:00"/>
    <d v="2024-05-01T00:00:00"/>
    <m/>
    <n v="0.71"/>
    <n v="13000"/>
    <n v="11600"/>
    <x v="1"/>
    <n v="1400"/>
    <s v="Within Budget"/>
    <n v="873"/>
  </r>
  <r>
    <s v="DevOps Pipeline"/>
    <s v="Risk Assessment"/>
    <x v="9"/>
    <s v="Low"/>
    <d v="2024-08-17T00:00:00"/>
    <d v="2024-09-03T00:00:00"/>
    <d v="2024-08-20T00:00:00"/>
    <n v="0.15"/>
    <n v="46000"/>
    <n v="12200"/>
    <x v="2"/>
    <n v="33800"/>
    <s v="Within Budget"/>
    <n v="-14"/>
  </r>
  <r>
    <s v="Product Launch Q2"/>
    <s v="Backup Configuration"/>
    <x v="23"/>
    <s v="Medium"/>
    <d v="2024-04-18T00:00:00"/>
    <d v="2024-05-10T00:00:00"/>
    <m/>
    <n v="0.32"/>
    <n v="12000"/>
    <n v="11600"/>
    <x v="1"/>
    <n v="400"/>
    <s v="Within Budget"/>
    <n v="864"/>
  </r>
  <r>
    <s v="Social Media Revamp"/>
    <s v="Competitive Analysis"/>
    <x v="13"/>
    <s v="Low"/>
    <d v="2025-06-21T00:00:00"/>
    <d v="2025-07-23T00:00:00"/>
    <m/>
    <n v="0"/>
    <n v="93000"/>
    <n v="0"/>
    <x v="3"/>
    <n v="93000"/>
    <s v="Within Budget"/>
    <n v="425"/>
  </r>
  <r>
    <s v="Supply Chain Optimization"/>
    <s v="Post-Launch Review"/>
    <x v="5"/>
    <s v="High"/>
    <d v="2025-05-06T00:00:00"/>
    <d v="2025-05-21T00:00:00"/>
    <m/>
    <n v="0"/>
    <n v="44000"/>
    <n v="0"/>
    <x v="3"/>
    <n v="44000"/>
    <s v="Within Budget"/>
    <n v="488"/>
  </r>
  <r>
    <s v="Budget Planning Tool"/>
    <s v="Change Management"/>
    <x v="11"/>
    <s v="Low"/>
    <d v="2024-03-08T00:00:00"/>
    <d v="2024-04-06T00:00:00"/>
    <m/>
    <n v="0.85"/>
    <n v="24000"/>
    <n v="29700"/>
    <x v="1"/>
    <n v="-5700"/>
    <s v="Over Budget"/>
    <n v="898"/>
  </r>
  <r>
    <s v="Mobile App Launch"/>
    <s v="Risk Assessment"/>
    <x v="2"/>
    <s v="Medium"/>
    <d v="2024-09-28T00:00:00"/>
    <d v="2024-10-26T00:00:00"/>
    <d v="2024-10-30T00:00:00"/>
    <n v="1"/>
    <n v="23000"/>
    <n v="31400"/>
    <x v="0"/>
    <n v="-8400"/>
    <s v="Over Budget"/>
    <n v="4"/>
  </r>
  <r>
    <s v="Customer Portal"/>
    <s v="System Configuration"/>
    <x v="14"/>
    <s v="Critical"/>
    <d v="2024-08-10T00:00:00"/>
    <d v="2024-09-13T00:00:00"/>
    <d v="2024-08-27T00:00:00"/>
    <n v="0.3"/>
    <n v="82000"/>
    <n v="18300"/>
    <x v="2"/>
    <n v="63700"/>
    <s v="Within Budget"/>
    <n v="-17"/>
  </r>
  <r>
    <s v="ERP Implementation"/>
    <s v="Contract Negotiation"/>
    <x v="2"/>
    <s v="Low"/>
    <d v="2024-02-11T00:00:00"/>
    <d v="2024-03-07T00:00:00"/>
    <d v="2024-04-07T00:00:00"/>
    <n v="1"/>
    <n v="12000"/>
    <n v="10500"/>
    <x v="0"/>
    <n v="1500"/>
    <s v="Within Budget"/>
    <n v="31"/>
  </r>
  <r>
    <s v="Marketing Automation"/>
    <s v="Monitoring Setup"/>
    <x v="20"/>
    <s v="High"/>
    <d v="2025-05-31T00:00:00"/>
    <d v="2025-06-14T00:00:00"/>
    <m/>
    <n v="0"/>
    <n v="32000"/>
    <n v="0"/>
    <x v="3"/>
    <n v="32000"/>
    <s v="Within Budget"/>
    <n v="464"/>
  </r>
  <r>
    <s v="Product Launch Q2"/>
    <s v="Bug Fixes"/>
    <x v="21"/>
    <s v="Medium"/>
    <d v="2024-07-03T00:00:00"/>
    <d v="2024-07-22T00:00:00"/>
    <d v="2024-07-30T00:00:00"/>
    <n v="1"/>
    <n v="15000"/>
    <n v="19200"/>
    <x v="0"/>
    <n v="-4200"/>
    <s v="Over Budget"/>
    <n v="8"/>
  </r>
  <r>
    <s v="Performance Review System"/>
    <s v="Prototype Development"/>
    <x v="3"/>
    <s v="Medium"/>
    <d v="2024-11-03T00:00:00"/>
    <d v="2024-12-07T00:00:00"/>
    <d v="2024-11-06T00:00:00"/>
    <n v="0.3"/>
    <n v="100000"/>
    <n v="18000"/>
    <x v="2"/>
    <n v="82000"/>
    <s v="Within Budget"/>
    <n v="-31"/>
  </r>
  <r>
    <s v="Mobile App Launch"/>
    <s v="Change Management"/>
    <x v="14"/>
    <s v="Medium"/>
    <d v="2025-06-04T00:00:00"/>
    <d v="2025-06-15T00:00:00"/>
    <m/>
    <n v="0"/>
    <n v="30000"/>
    <n v="0"/>
    <x v="3"/>
    <n v="30000"/>
    <s v="Within Budget"/>
    <n v="463"/>
  </r>
  <r>
    <s v="Customer Portal"/>
    <s v="Change Management"/>
    <x v="22"/>
    <s v="Low"/>
    <d v="2024-10-03T00:00:00"/>
    <d v="2024-10-15T00:00:00"/>
    <d v="2024-10-07T00:00:00"/>
    <n v="0.3"/>
    <n v="10000"/>
    <n v="900"/>
    <x v="2"/>
    <n v="9100"/>
    <s v="Within Budget"/>
    <n v="-8"/>
  </r>
  <r>
    <s v="Analytics Dashboard"/>
    <s v="Backend Development"/>
    <x v="7"/>
    <s v="Medium"/>
    <d v="2025-05-04T00:00:00"/>
    <d v="2025-07-31T00:00:00"/>
    <m/>
    <n v="0"/>
    <n v="103000"/>
    <n v="0"/>
    <x v="3"/>
    <n v="103000"/>
    <s v="Within Budget"/>
    <n v="417"/>
  </r>
  <r>
    <s v="Supply Chain Optimization"/>
    <s v="Analytics Integration"/>
    <x v="5"/>
    <s v="Low"/>
    <d v="2025-04-14T00:00:00"/>
    <d v="2025-05-08T00:00:00"/>
    <m/>
    <n v="0"/>
    <n v="47000"/>
    <n v="0"/>
    <x v="3"/>
    <n v="47000"/>
    <s v="Within Budget"/>
    <n v="501"/>
  </r>
  <r>
    <s v="API Gateway"/>
    <s v="Analytics Integration"/>
    <x v="17"/>
    <s v="Medium"/>
    <d v="2024-12-24T00:00:00"/>
    <d v="2025-01-19T00:00:00"/>
    <m/>
    <n v="0.53"/>
    <n v="18000"/>
    <n v="20400"/>
    <x v="1"/>
    <n v="-2400"/>
    <s v="Over Budget"/>
    <n v="610"/>
  </r>
  <r>
    <s v="Training Platform"/>
    <s v="Performance Testing"/>
    <x v="8"/>
    <s v="Medium"/>
    <d v="2024-06-17T00:00:00"/>
    <d v="2024-07-04T00:00:00"/>
    <d v="2024-06-22T00:00:00"/>
    <n v="0.2"/>
    <n v="48000"/>
    <n v="16400"/>
    <x v="2"/>
    <n v="31600"/>
    <s v="Within Budget"/>
    <n v="-12"/>
  </r>
  <r>
    <s v="Mobile App Launch"/>
    <s v="Go-Live Preparation"/>
    <x v="23"/>
    <s v="Low"/>
    <d v="2024-09-01T00:00:00"/>
    <d v="2024-09-09T00:00:00"/>
    <m/>
    <n v="0.6"/>
    <n v="7000"/>
    <n v="6200"/>
    <x v="1"/>
    <n v="800"/>
    <s v="Within Budget"/>
    <n v="742"/>
  </r>
  <r>
    <s v="Brand Refresh"/>
    <s v="Contract Negotiation"/>
    <x v="9"/>
    <s v="Low"/>
    <d v="2024-04-28T00:00:00"/>
    <d v="2024-05-28T00:00:00"/>
    <d v="2024-05-22T00:00:00"/>
    <n v="1"/>
    <n v="38000"/>
    <n v="43400"/>
    <x v="0"/>
    <n v="-5400"/>
    <s v="Over Budget"/>
    <n v="-6"/>
  </r>
  <r>
    <s v="Chatbot Development"/>
    <s v="Status Reporting"/>
    <x v="24"/>
    <s v="High"/>
    <d v="2024-05-06T00:00:00"/>
    <d v="2024-06-07T00:00:00"/>
    <m/>
    <n v="0.57999999999999996"/>
    <n v="73000"/>
    <n v="57000"/>
    <x v="1"/>
    <n v="16000"/>
    <s v="Within Budget"/>
    <n v="836"/>
  </r>
  <r>
    <s v="Security Audit"/>
    <s v="Requirements Gathering"/>
    <x v="23"/>
    <s v="High"/>
    <d v="2025-03-19T00:00:00"/>
    <d v="2025-03-27T00:00:00"/>
    <m/>
    <n v="0.22"/>
    <n v="15000"/>
    <n v="3500"/>
    <x v="4"/>
    <n v="11500"/>
    <s v="Within Budget"/>
    <n v="543"/>
  </r>
  <r>
    <s v="Email Platform Migration"/>
    <s v="Frontend Development"/>
    <x v="3"/>
    <s v="Low"/>
    <d v="2025-03-09T00:00:00"/>
    <d v="2025-04-15T00:00:00"/>
    <m/>
    <n v="0"/>
    <n v="75000"/>
    <n v="0"/>
    <x v="3"/>
    <n v="75000"/>
    <s v="Within Budget"/>
    <n v="524"/>
  </r>
  <r>
    <s v="Performance Review System"/>
    <s v="Post-Launch Review"/>
    <x v="6"/>
    <s v="Low"/>
    <d v="2024-04-04T00:00:00"/>
    <d v="2024-05-09T00:00:00"/>
    <d v="2024-05-11T00:00:00"/>
    <n v="1"/>
    <n v="61000"/>
    <n v="70600"/>
    <x v="0"/>
    <n v="-9600"/>
    <s v="Over Budget"/>
    <n v="2"/>
  </r>
  <r>
    <s v="Email Platform Migration"/>
    <s v="Frontend Development"/>
    <x v="22"/>
    <s v="Low"/>
    <d v="2025-04-14T00:00:00"/>
    <d v="2025-05-25T00:00:00"/>
    <m/>
    <n v="0"/>
    <n v="96000"/>
    <n v="0"/>
    <x v="3"/>
    <n v="96000"/>
    <s v="Within Budget"/>
    <n v="484"/>
  </r>
  <r>
    <s v="Annual Report"/>
    <s v="Feedback Collection"/>
    <x v="5"/>
    <s v="Medium"/>
    <d v="2024-01-23T00:00:00"/>
    <d v="2024-02-01T00:00:00"/>
    <d v="2024-02-09T00:00:00"/>
    <n v="1"/>
    <n v="6000"/>
    <n v="7900"/>
    <x v="0"/>
    <n v="-1900"/>
    <s v="Over Budget"/>
    <n v="8"/>
  </r>
  <r>
    <s v="Data Warehouse Build"/>
    <s v="Integration Testing"/>
    <x v="10"/>
    <s v="High"/>
    <d v="2025-04-02T00:00:00"/>
    <d v="2025-04-22T00:00:00"/>
    <m/>
    <n v="0.69"/>
    <n v="44000"/>
    <n v="30900"/>
    <x v="4"/>
    <n v="13100"/>
    <s v="Within Budget"/>
    <n v="517"/>
  </r>
  <r>
    <s v="Performance Review System"/>
    <s v="Training Materials"/>
    <x v="23"/>
    <s v="Low"/>
    <d v="2024-02-19T00:00:00"/>
    <d v="2024-03-08T00:00:00"/>
    <d v="2024-03-08T00:00:00"/>
    <n v="1"/>
    <n v="23000"/>
    <n v="27400"/>
    <x v="0"/>
    <n v="-4400"/>
    <s v="Over Budget"/>
    <n v="0"/>
  </r>
  <r>
    <s v="Inventory System"/>
    <s v="Database Design"/>
    <x v="22"/>
    <s v="Low"/>
    <d v="2024-03-14T00:00:00"/>
    <d v="2024-04-07T00:00:00"/>
    <d v="2024-05-16T00:00:00"/>
    <n v="1"/>
    <n v="44000"/>
    <n v="61500"/>
    <x v="0"/>
    <n v="-17500"/>
    <s v="Over Budget"/>
    <n v="39"/>
  </r>
  <r>
    <s v="HR System Upgrade"/>
    <s v="Documentation"/>
    <x v="1"/>
    <s v="High"/>
    <d v="2025-04-07T00:00:00"/>
    <d v="2025-05-04T00:00:00"/>
    <m/>
    <n v="0"/>
    <n v="48000"/>
    <n v="0"/>
    <x v="3"/>
    <n v="48000"/>
    <s v="Within Budget"/>
    <n v="505"/>
  </r>
  <r>
    <s v="Website Redesign"/>
    <s v="Training Materials"/>
    <x v="3"/>
    <s v="Low"/>
    <d v="2024-11-29T00:00:00"/>
    <d v="2024-12-06T00:00:00"/>
    <d v="2024-12-08T00:00:00"/>
    <n v="1"/>
    <n v="3000"/>
    <n v="3600"/>
    <x v="0"/>
    <n v="-600"/>
    <s v="Over Budget"/>
    <n v="2"/>
  </r>
  <r>
    <s v="Email Platform Migration"/>
    <s v="Feedback Collection"/>
    <x v="23"/>
    <s v="Medium"/>
    <d v="2025-03-13T00:00:00"/>
    <d v="2025-04-13T00:00:00"/>
    <m/>
    <n v="0"/>
    <n v="99000"/>
    <n v="0"/>
    <x v="3"/>
    <n v="99000"/>
    <s v="Within Budget"/>
    <n v="526"/>
  </r>
  <r>
    <s v="CRM Migration"/>
    <s v="Prototype Development"/>
    <x v="19"/>
    <s v="High"/>
    <d v="2024-12-02T00:00:00"/>
    <d v="2024-12-29T00:00:00"/>
    <d v="2024-12-21T00:00:00"/>
    <n v="1"/>
    <n v="26000"/>
    <n v="29400"/>
    <x v="0"/>
    <n v="-3400"/>
    <s v="Over Budget"/>
    <n v="-8"/>
  </r>
  <r>
    <s v="Product Launch Q2"/>
    <s v="Analytics Integration"/>
    <x v="24"/>
    <s v="Critical"/>
    <d v="2024-01-18T00:00:00"/>
    <d v="2024-01-27T00:00:00"/>
    <m/>
    <n v="0.81"/>
    <n v="10000"/>
    <n v="6000"/>
    <x v="1"/>
    <n v="4000"/>
    <s v="Within Budget"/>
    <n v="968"/>
  </r>
  <r>
    <s v="Social Media Revamp"/>
    <s v="User Acceptance Testing"/>
    <x v="4"/>
    <s v="Low"/>
    <d v="2024-03-01T00:00:00"/>
    <d v="2024-03-15T00:00:00"/>
    <d v="2024-03-23T00:00:00"/>
    <n v="1"/>
    <n v="13000"/>
    <n v="15900"/>
    <x v="0"/>
    <n v="-2900"/>
    <s v="Over Budget"/>
    <n v="8"/>
  </r>
  <r>
    <s v="Onboarding Automation"/>
    <s v="Bug Fixes"/>
    <x v="10"/>
    <s v="High"/>
    <d v="2024-04-25T00:00:00"/>
    <d v="2024-05-09T00:00:00"/>
    <d v="2024-04-27T00:00:00"/>
    <n v="0.25"/>
    <n v="35000"/>
    <n v="10100"/>
    <x v="2"/>
    <n v="24900"/>
    <s v="Within Budget"/>
    <n v="-12"/>
  </r>
  <r>
    <s v="Customer Portal"/>
    <s v="Integration Testing"/>
    <x v="10"/>
    <s v="Low"/>
    <d v="2025-03-13T00:00:00"/>
    <d v="2025-04-12T00:00:00"/>
    <m/>
    <n v="0"/>
    <n v="28000"/>
    <n v="0"/>
    <x v="3"/>
    <n v="28000"/>
    <s v="Within Budget"/>
    <n v="527"/>
  </r>
  <r>
    <s v="Annual Report"/>
    <s v="Prototype Development"/>
    <x v="17"/>
    <s v="Medium"/>
    <d v="2024-08-31T00:00:00"/>
    <d v="2024-10-09T00:00:00"/>
    <d v="2024-10-12T00:00:00"/>
    <n v="1"/>
    <n v="94000"/>
    <n v="86200"/>
    <x v="0"/>
    <n v="7800"/>
    <s v="Within Budget"/>
    <n v="3"/>
  </r>
  <r>
    <s v="Budget Planning Tool"/>
    <s v="User Training"/>
    <x v="11"/>
    <s v="Low"/>
    <d v="2024-05-28T00:00:00"/>
    <d v="2024-06-13T00:00:00"/>
    <d v="2024-06-17T00:00:00"/>
    <n v="1"/>
    <n v="12000"/>
    <n v="15700"/>
    <x v="0"/>
    <n v="-3700"/>
    <s v="Over Budget"/>
    <n v="4"/>
  </r>
  <r>
    <s v="Analytics Dashboard"/>
    <s v="Post-Launch Review"/>
    <x v="18"/>
    <s v="High"/>
    <d v="2024-08-18T00:00:00"/>
    <d v="2024-08-31T00:00:00"/>
    <d v="2024-09-10T00:00:00"/>
    <n v="1"/>
    <n v="26000"/>
    <n v="35100"/>
    <x v="0"/>
    <n v="-9100"/>
    <s v="Over Budget"/>
    <n v="10"/>
  </r>
  <r>
    <s v="Customer Portal"/>
    <s v="Documentation"/>
    <x v="13"/>
    <s v="High"/>
    <d v="2024-11-15T00:00:00"/>
    <d v="2024-12-09T00:00:00"/>
    <d v="2024-12-09T00:00:00"/>
    <n v="1"/>
    <n v="36000"/>
    <n v="32900"/>
    <x v="0"/>
    <n v="3100"/>
    <s v="Within Budget"/>
    <n v="0"/>
  </r>
  <r>
    <s v="Mobile App Launch"/>
    <s v="Technical Architecture"/>
    <x v="11"/>
    <s v="Low"/>
    <d v="2025-01-22T00:00:00"/>
    <d v="2025-02-21T00:00:00"/>
    <m/>
    <n v="0.85"/>
    <n v="35000"/>
    <n v="33700"/>
    <x v="4"/>
    <n v="1300"/>
    <s v="Within Budget"/>
    <n v="577"/>
  </r>
  <r>
    <s v="Product Launch Q1"/>
    <s v="Security Review"/>
    <x v="23"/>
    <s v="High"/>
    <d v="2025-02-16T00:00:00"/>
    <d v="2025-03-09T00:00:00"/>
    <d v="2025-03-10T00:00:00"/>
    <n v="1"/>
    <n v="11000"/>
    <n v="10400"/>
    <x v="0"/>
    <n v="600"/>
    <s v="Within Budget"/>
    <n v="1"/>
  </r>
  <r>
    <s v="Social Media Revamp"/>
    <s v="Analytics Integration"/>
    <x v="6"/>
    <s v="Medium"/>
    <d v="2025-05-06T00:00:00"/>
    <d v="2025-06-01T00:00:00"/>
    <m/>
    <n v="0"/>
    <n v="44000"/>
    <n v="0"/>
    <x v="3"/>
    <n v="44000"/>
    <s v="Within Budget"/>
    <n v="477"/>
  </r>
  <r>
    <s v="Email Platform Migration"/>
    <s v="Backup Configuration"/>
    <x v="4"/>
    <s v="Medium"/>
    <d v="2025-04-02T00:00:00"/>
    <d v="2025-04-24T00:00:00"/>
    <m/>
    <n v="0"/>
    <n v="10000"/>
    <n v="0"/>
    <x v="3"/>
    <n v="10000"/>
    <s v="Within Budget"/>
    <n v="515"/>
  </r>
  <r>
    <s v="Analytics Dashboard"/>
    <s v="Vendor Evaluation"/>
    <x v="15"/>
    <s v="Critical"/>
    <d v="2024-04-12T00:00:00"/>
    <d v="2024-05-09T00:00:00"/>
    <d v="2024-05-09T00:00:00"/>
    <n v="1"/>
    <n v="38000"/>
    <n v="42800"/>
    <x v="0"/>
    <n v="-4800"/>
    <s v="Over Budget"/>
    <n v="0"/>
  </r>
  <r>
    <s v="Marketing Automation"/>
    <s v="Asset Design"/>
    <x v="4"/>
    <s v="Medium"/>
    <d v="2024-09-27T00:00:00"/>
    <d v="2024-10-05T00:00:00"/>
    <m/>
    <n v="0.43"/>
    <n v="13000"/>
    <n v="15000"/>
    <x v="1"/>
    <n v="-2000"/>
    <s v="Over Budget"/>
    <n v="716"/>
  </r>
  <r>
    <s v="HR System Upgrade"/>
    <s v="Wireframing"/>
    <x v="21"/>
    <s v="Medium"/>
    <d v="2024-03-22T00:00:00"/>
    <d v="2024-04-20T00:00:00"/>
    <d v="2024-04-23T00:00:00"/>
    <n v="1"/>
    <n v="48000"/>
    <n v="41600"/>
    <x v="0"/>
    <n v="6400"/>
    <s v="Within Budget"/>
    <n v="3"/>
  </r>
  <r>
    <s v="Inventory System"/>
    <s v="Unit Testing"/>
    <x v="13"/>
    <s v="High"/>
    <d v="2024-05-23T00:00:00"/>
    <d v="2024-06-23T00:00:00"/>
    <d v="2024-08-06T00:00:00"/>
    <n v="1"/>
    <n v="51000"/>
    <n v="67000"/>
    <x v="0"/>
    <n v="-16000"/>
    <s v="Over Budget"/>
    <n v="44"/>
  </r>
  <r>
    <s v="DevOps Pipeline"/>
    <s v="Retrospective"/>
    <x v="24"/>
    <s v="Critical"/>
    <d v="2024-01-22T00:00:00"/>
    <d v="2024-02-03T00:00:00"/>
    <d v="2024-02-28T00:00:00"/>
    <n v="1"/>
    <n v="12000"/>
    <n v="11600"/>
    <x v="0"/>
    <n v="400"/>
    <s v="Within Budget"/>
    <n v="25"/>
  </r>
  <r>
    <s v="Mobile App Launch"/>
    <s v="Bug Fixes"/>
    <x v="17"/>
    <s v="Medium"/>
    <d v="2024-04-21T00:00:00"/>
    <d v="2024-05-22T00:00:00"/>
    <d v="2024-05-22T00:00:00"/>
    <n v="1"/>
    <n v="51000"/>
    <n v="61800"/>
    <x v="0"/>
    <n v="-10800"/>
    <s v="Over Budget"/>
    <n v="0"/>
  </r>
  <r>
    <s v="Website Redesign"/>
    <s v="Bug Fixes"/>
    <x v="15"/>
    <s v="Critical"/>
    <d v="2025-06-17T00:00:00"/>
    <d v="2025-07-11T00:00:00"/>
    <m/>
    <n v="0"/>
    <n v="16000"/>
    <n v="0"/>
    <x v="3"/>
    <n v="16000"/>
    <s v="Within Budget"/>
    <n v="437"/>
  </r>
  <r>
    <s v="Data Warehouse Build"/>
    <s v="Retrospective"/>
    <x v="2"/>
    <s v="High"/>
    <d v="2025-03-08T00:00:00"/>
    <d v="2025-03-18T00:00:00"/>
    <m/>
    <n v="0.67"/>
    <n v="11000"/>
    <n v="12900"/>
    <x v="1"/>
    <n v="-1900"/>
    <s v="Over Budget"/>
    <n v="552"/>
  </r>
  <r>
    <s v="Email Platform Migration"/>
    <s v="Data Migration"/>
    <x v="19"/>
    <s v="Medium"/>
    <d v="2024-04-15T00:00:00"/>
    <d v="2024-06-21T00:00:00"/>
    <m/>
    <n v="0.42"/>
    <n v="169000"/>
    <n v="196900"/>
    <x v="1"/>
    <n v="-27900"/>
    <s v="Over Budget"/>
    <n v="822"/>
  </r>
  <r>
    <s v="Payment Integration"/>
    <s v="Data Migration"/>
    <x v="13"/>
    <s v="High"/>
    <d v="2025-03-03T00:00:00"/>
    <d v="2025-04-08T00:00:00"/>
    <m/>
    <n v="0.68"/>
    <n v="73000"/>
    <n v="81300"/>
    <x v="1"/>
    <n v="-8300"/>
    <s v="Over Budget"/>
    <n v="531"/>
  </r>
  <r>
    <s v="Inventory System"/>
    <s v="Data Migration"/>
    <x v="16"/>
    <s v="Low"/>
    <d v="2024-07-08T00:00:00"/>
    <d v="2024-10-06T00:00:00"/>
    <d v="2024-10-09T00:00:00"/>
    <n v="1"/>
    <n v="80000"/>
    <n v="87800"/>
    <x v="0"/>
    <n v="-7800"/>
    <s v="Over Budget"/>
    <n v="3"/>
  </r>
  <r>
    <s v="Product Launch Q1"/>
    <s v="Wireframing"/>
    <x v="6"/>
    <s v="Low"/>
    <d v="2024-11-21T00:00:00"/>
    <d v="2024-12-05T00:00:00"/>
    <d v="2024-11-23T00:00:00"/>
    <n v="0.3"/>
    <n v="18000"/>
    <n v="2700"/>
    <x v="2"/>
    <n v="15300"/>
    <s v="Within Budget"/>
    <n v="-12"/>
  </r>
  <r>
    <s v="Product Launch Q1"/>
    <s v="Content Creation"/>
    <x v="20"/>
    <s v="Medium"/>
    <d v="2024-02-29T00:00:00"/>
    <d v="2024-03-30T00:00:00"/>
    <d v="2024-04-30T00:00:00"/>
    <n v="1"/>
    <n v="39000"/>
    <n v="33400"/>
    <x v="0"/>
    <n v="5600"/>
    <s v="Within Budget"/>
    <n v="31"/>
  </r>
  <r>
    <s v="Vendor Portal"/>
    <s v="Documentation"/>
    <x v="11"/>
    <s v="Low"/>
    <d v="2024-03-14T00:00:00"/>
    <d v="2024-04-08T00:00:00"/>
    <d v="2024-04-22T00:00:00"/>
    <n v="1"/>
    <n v="50000"/>
    <n v="44400"/>
    <x v="0"/>
    <n v="5600"/>
    <s v="Within Budget"/>
    <n v="14"/>
  </r>
  <r>
    <s v="Brand Refresh"/>
    <s v="UI/UX Design"/>
    <x v="5"/>
    <s v="Low"/>
    <d v="2024-09-09T00:00:00"/>
    <d v="2024-10-08T00:00:00"/>
    <d v="2024-10-03T00:00:00"/>
    <n v="1"/>
    <n v="46000"/>
    <n v="40600"/>
    <x v="0"/>
    <n v="5400"/>
    <s v="Within Budget"/>
    <n v="-5"/>
  </r>
  <r>
    <s v="Product Launch Q2"/>
    <s v="Unit Testing"/>
    <x v="4"/>
    <s v="Low"/>
    <d v="2024-10-11T00:00:00"/>
    <d v="2024-11-03T00:00:00"/>
    <d v="2024-11-26T00:00:00"/>
    <n v="1"/>
    <n v="24000"/>
    <n v="27500"/>
    <x v="0"/>
    <n v="-3500"/>
    <s v="Over Budget"/>
    <n v="23"/>
  </r>
  <r>
    <s v="Supply Chain Optimization"/>
    <s v="Quality Assurance"/>
    <x v="24"/>
    <s v="High"/>
    <d v="2024-01-06T00:00:00"/>
    <d v="2024-02-10T00:00:00"/>
    <d v="2024-03-26T00:00:00"/>
    <n v="1"/>
    <n v="76000"/>
    <n v="65500"/>
    <x v="0"/>
    <n v="10500"/>
    <s v="Within Budget"/>
    <n v="45"/>
  </r>
  <r>
    <s v="Budget Planning Tool"/>
    <s v="Post-Launch Review"/>
    <x v="1"/>
    <s v="Medium"/>
    <d v="2024-08-01T00:00:00"/>
    <d v="2024-08-23T00:00:00"/>
    <d v="2024-08-23T00:00:00"/>
    <n v="1"/>
    <n v="25000"/>
    <n v="24500"/>
    <x v="0"/>
    <n v="500"/>
    <s v="Within Budget"/>
    <n v="0"/>
  </r>
  <r>
    <s v="ERP Implementation"/>
    <s v="Database Design"/>
    <x v="7"/>
    <s v="Medium"/>
    <d v="2024-06-21T00:00:00"/>
    <d v="2024-08-04T00:00:00"/>
    <d v="2024-09-17T00:00:00"/>
    <n v="1"/>
    <n v="40000"/>
    <n v="50200"/>
    <x v="0"/>
    <n v="-10200"/>
    <s v="Over Budget"/>
    <n v="44"/>
  </r>
  <r>
    <s v="Compliance Overhaul"/>
    <s v="Integration Testing"/>
    <x v="24"/>
    <s v="Low"/>
    <d v="2025-01-25T00:00:00"/>
    <d v="2025-02-06T00:00:00"/>
    <m/>
    <n v="0.77"/>
    <n v="50000"/>
    <n v="39200"/>
    <x v="1"/>
    <n v="10800"/>
    <s v="Within Budget"/>
    <n v="592"/>
  </r>
  <r>
    <s v="Brand Refresh"/>
    <s v="Retrospective"/>
    <x v="15"/>
    <s v="Medium"/>
    <d v="2024-12-27T00:00:00"/>
    <d v="2025-01-06T00:00:00"/>
    <m/>
    <n v="0.43"/>
    <n v="6000"/>
    <n v="6300"/>
    <x v="1"/>
    <n v="-300"/>
    <s v="Over Budget"/>
    <n v="623"/>
  </r>
  <r>
    <s v="Annual Report"/>
    <s v="Integration Testing"/>
    <x v="0"/>
    <s v="Medium"/>
    <d v="2024-08-03T00:00:00"/>
    <d v="2024-08-16T00:00:00"/>
    <d v="2024-08-09T00:00:00"/>
    <n v="0"/>
    <n v="21000"/>
    <n v="2700"/>
    <x v="2"/>
    <n v="18300"/>
    <s v="Within Budget"/>
    <n v="-7"/>
  </r>
  <r>
    <s v="ERP Implementation"/>
    <s v="Status Reporting"/>
    <x v="2"/>
    <s v="Low"/>
    <d v="2024-07-05T00:00:00"/>
    <d v="2024-07-30T00:00:00"/>
    <d v="2024-08-02T00:00:00"/>
    <n v="1"/>
    <n v="48000"/>
    <n v="57800"/>
    <x v="0"/>
    <n v="-9800"/>
    <s v="Over Budget"/>
    <n v="3"/>
  </r>
  <r>
    <s v="Social Media Revamp"/>
    <s v="Deployment Planning"/>
    <x v="3"/>
    <s v="Medium"/>
    <d v="2024-12-31T00:00:00"/>
    <d v="2025-01-28T00:00:00"/>
    <m/>
    <n v="0.2"/>
    <n v="23000"/>
    <n v="21800"/>
    <x v="1"/>
    <n v="1200"/>
    <s v="Within Budget"/>
    <n v="601"/>
  </r>
  <r>
    <s v="Mobile App Launch"/>
    <s v="Content Creation"/>
    <x v="18"/>
    <s v="Medium"/>
    <d v="2024-06-22T00:00:00"/>
    <d v="2024-07-27T00:00:00"/>
    <m/>
    <n v="0.85"/>
    <n v="100000"/>
    <n v="91500"/>
    <x v="1"/>
    <n v="8500"/>
    <s v="Within Budget"/>
    <n v="786"/>
  </r>
  <r>
    <s v="Budget Planning Tool"/>
    <s v="Content Creation"/>
    <x v="13"/>
    <s v="Medium"/>
    <d v="2024-05-15T00:00:00"/>
    <d v="2024-05-30T00:00:00"/>
    <d v="2024-05-31T00:00:00"/>
    <n v="1"/>
    <n v="40000"/>
    <n v="51500"/>
    <x v="0"/>
    <n v="-11500"/>
    <s v="Over Budget"/>
    <n v="1"/>
  </r>
  <r>
    <s v="Product Launch Q1"/>
    <s v="Deployment Planning"/>
    <x v="10"/>
    <s v="Medium"/>
    <d v="2024-09-08T00:00:00"/>
    <d v="2024-09-18T00:00:00"/>
    <d v="2024-10-26T00:00:00"/>
    <n v="1"/>
    <n v="4000"/>
    <n v="4300"/>
    <x v="0"/>
    <n v="-300"/>
    <s v="Over Budget"/>
    <n v="38"/>
  </r>
  <r>
    <s v="DevOps Pipeline"/>
    <s v="Quality Assurance"/>
    <x v="20"/>
    <s v="Low"/>
    <d v="2025-05-05T00:00:00"/>
    <d v="2025-05-17T00:00:00"/>
    <m/>
    <n v="0"/>
    <n v="42000"/>
    <n v="0"/>
    <x v="3"/>
    <n v="42000"/>
    <s v="Within Budget"/>
    <n v="492"/>
  </r>
  <r>
    <s v="Security Audit"/>
    <s v="Documentation"/>
    <x v="20"/>
    <s v="Low"/>
    <d v="2025-01-16T00:00:00"/>
    <d v="2025-02-05T00:00:00"/>
    <d v="2025-02-09T00:00:00"/>
    <n v="1"/>
    <n v="20000"/>
    <n v="18500"/>
    <x v="0"/>
    <n v="1500"/>
    <s v="Within Budget"/>
    <n v="4"/>
  </r>
  <r>
    <s v="CRM Migration"/>
    <s v="User Training"/>
    <x v="19"/>
    <s v="High"/>
    <d v="2024-09-06T00:00:00"/>
    <d v="2024-10-11T00:00:00"/>
    <d v="2024-10-12T00:00:00"/>
    <n v="1"/>
    <n v="42000"/>
    <n v="55600"/>
    <x v="0"/>
    <n v="-13600"/>
    <s v="Over Budget"/>
    <n v="1"/>
  </r>
  <r>
    <s v="Brand Refresh"/>
    <s v="Status Reporting"/>
    <x v="6"/>
    <s v="Low"/>
    <d v="2025-05-05T00:00:00"/>
    <d v="2025-06-02T00:00:00"/>
    <m/>
    <n v="0"/>
    <n v="48000"/>
    <n v="0"/>
    <x v="3"/>
    <n v="48000"/>
    <s v="Within Budget"/>
    <n v="476"/>
  </r>
  <r>
    <s v="Mobile App Launch"/>
    <s v="Performance Testing"/>
    <x v="14"/>
    <s v="Medium"/>
    <d v="2025-06-06T00:00:00"/>
    <d v="2025-06-28T00:00:00"/>
    <m/>
    <n v="0"/>
    <n v="39000"/>
    <n v="0"/>
    <x v="3"/>
    <n v="39000"/>
    <s v="Within Budget"/>
    <n v="450"/>
  </r>
  <r>
    <s v="Email Platform Migration"/>
    <s v="Security Review"/>
    <x v="0"/>
    <s v="Medium"/>
    <d v="2024-11-22T00:00:00"/>
    <d v="2024-12-20T00:00:00"/>
    <d v="2024-12-22T00:00:00"/>
    <n v="1"/>
    <n v="41000"/>
    <n v="37200"/>
    <x v="0"/>
    <n v="3800"/>
    <s v="Within Budget"/>
    <n v="2"/>
  </r>
  <r>
    <s v="Payment Integration"/>
    <s v="Monitoring Setup"/>
    <x v="18"/>
    <s v="High"/>
    <d v="2025-06-13T00:00:00"/>
    <d v="2025-07-07T00:00:00"/>
    <m/>
    <n v="0"/>
    <n v="48000"/>
    <n v="0"/>
    <x v="3"/>
    <n v="48000"/>
    <s v="Within Budget"/>
    <n v="441"/>
  </r>
  <r>
    <s v="Vendor Portal"/>
    <s v="User Acceptance Testing"/>
    <x v="11"/>
    <s v="Medium"/>
    <d v="2025-05-09T00:00:00"/>
    <d v="2025-05-28T00:00:00"/>
    <m/>
    <n v="0"/>
    <n v="36000"/>
    <n v="0"/>
    <x v="3"/>
    <n v="36000"/>
    <s v="Within Budget"/>
    <n v="481"/>
  </r>
  <r>
    <s v="Cloud Infrastructure"/>
    <s v="UI/UX Design"/>
    <x v="21"/>
    <s v="High"/>
    <d v="2024-05-23T00:00:00"/>
    <d v="2024-07-05T00:00:00"/>
    <d v="2024-07-19T00:00:00"/>
    <n v="1"/>
    <n v="44000"/>
    <n v="43600"/>
    <x v="0"/>
    <n v="400"/>
    <s v="Within Budget"/>
    <n v="14"/>
  </r>
  <r>
    <s v="Data Warehouse Build"/>
    <s v="Optimization"/>
    <x v="8"/>
    <s v="Medium"/>
    <d v="2024-11-14T00:00:00"/>
    <d v="2024-11-22T00:00:00"/>
    <d v="2024-12-10T00:00:00"/>
    <n v="1"/>
    <n v="4000"/>
    <n v="4100"/>
    <x v="0"/>
    <n v="-100"/>
    <s v="Over Budget"/>
    <n v="18"/>
  </r>
  <r>
    <s v="Annual Report"/>
    <s v="Asset Design"/>
    <x v="1"/>
    <s v="Medium"/>
    <d v="2025-06-12T00:00:00"/>
    <d v="2025-06-29T00:00:00"/>
    <m/>
    <n v="0"/>
    <n v="10000"/>
    <n v="0"/>
    <x v="3"/>
    <n v="10000"/>
    <s v="Within Budget"/>
    <n v="449"/>
  </r>
  <r>
    <s v="Inventory System"/>
    <s v="UI/UX Design"/>
    <x v="19"/>
    <s v="Medium"/>
    <d v="2024-09-18T00:00:00"/>
    <d v="2024-10-27T00:00:00"/>
    <d v="2024-11-14T00:00:00"/>
    <n v="1"/>
    <n v="85000"/>
    <n v="89400"/>
    <x v="0"/>
    <n v="-4400"/>
    <s v="Over Budget"/>
    <n v="18"/>
  </r>
  <r>
    <s v="Vendor Portal"/>
    <s v="Frontend Development"/>
    <x v="17"/>
    <s v="Low"/>
    <d v="2024-01-05T00:00:00"/>
    <d v="2024-02-17T00:00:00"/>
    <d v="2024-01-24T00:00:00"/>
    <n v="0.3"/>
    <n v="72000"/>
    <n v="24400"/>
    <x v="2"/>
    <n v="47600"/>
    <s v="Within Budget"/>
    <n v="-24"/>
  </r>
  <r>
    <s v="Inventory System"/>
    <s v="Asset Design"/>
    <x v="2"/>
    <s v="High"/>
    <d v="2024-08-27T00:00:00"/>
    <d v="2024-09-11T00:00:00"/>
    <d v="2024-09-16T00:00:00"/>
    <n v="1"/>
    <n v="39000"/>
    <n v="39500"/>
    <x v="0"/>
    <n v="-500"/>
    <s v="Over Budget"/>
    <n v="5"/>
  </r>
  <r>
    <s v="Payment Integration"/>
    <s v="Accessibility Audit"/>
    <x v="14"/>
    <s v="Medium"/>
    <d v="2025-02-27T00:00:00"/>
    <d v="2025-03-22T00:00:00"/>
    <m/>
    <n v="0.4"/>
    <n v="18000"/>
    <n v="3600"/>
    <x v="5"/>
    <n v="14400"/>
    <s v="Within Budget"/>
    <n v="548"/>
  </r>
  <r>
    <s v="Inventory System"/>
    <s v="Analytics Integration"/>
    <x v="18"/>
    <s v="Low"/>
    <d v="2024-10-12T00:00:00"/>
    <d v="2024-11-07T00:00:00"/>
    <d v="2024-11-25T00:00:00"/>
    <n v="1"/>
    <n v="34000"/>
    <n v="41100"/>
    <x v="0"/>
    <n v="-7100"/>
    <s v="Over Budget"/>
    <n v="18"/>
  </r>
  <r>
    <s v="Marketing Automation"/>
    <s v="User Training"/>
    <x v="12"/>
    <s v="Low"/>
    <d v="2024-12-17T00:00:00"/>
    <d v="2024-12-27T00:00:00"/>
    <d v="2024-12-27T00:00:00"/>
    <n v="1"/>
    <n v="2000"/>
    <n v="2000"/>
    <x v="0"/>
    <n v="0"/>
    <s v="Within Budget"/>
    <n v="0"/>
  </r>
  <r>
    <s v="Payment Integration"/>
    <s v="Sprint Planning"/>
    <x v="4"/>
    <s v="Medium"/>
    <d v="2024-01-20T00:00:00"/>
    <d v="2024-01-26T00:00:00"/>
    <d v="2024-01-21T00:00:00"/>
    <n v="0.3"/>
    <n v="12000"/>
    <n v="4600"/>
    <x v="2"/>
    <n v="7400"/>
    <s v="Within Budget"/>
    <n v="-5"/>
  </r>
  <r>
    <s v="Email Platform Migration"/>
    <s v="Content Creation"/>
    <x v="2"/>
    <s v="Medium"/>
    <d v="2024-08-15T00:00:00"/>
    <d v="2024-09-04T00:00:00"/>
    <d v="2024-09-27T00:00:00"/>
    <n v="1"/>
    <n v="25000"/>
    <n v="34000"/>
    <x v="0"/>
    <n v="-9000"/>
    <s v="Over Budget"/>
    <n v="23"/>
  </r>
  <r>
    <s v="Supply Chain Optimization"/>
    <s v="Post-Launch Review"/>
    <x v="7"/>
    <s v="Medium"/>
    <d v="2025-05-09T00:00:00"/>
    <d v="2025-05-18T00:00:00"/>
    <m/>
    <n v="0"/>
    <n v="14000"/>
    <n v="0"/>
    <x v="3"/>
    <n v="14000"/>
    <s v="Within Budget"/>
    <n v="491"/>
  </r>
  <r>
    <s v="Customer Portal"/>
    <s v="Unit Testing"/>
    <x v="7"/>
    <s v="Medium"/>
    <d v="2025-03-13T00:00:00"/>
    <d v="2025-04-08T00:00:00"/>
    <m/>
    <n v="0.71"/>
    <n v="16000"/>
    <n v="9700"/>
    <x v="4"/>
    <n v="6300"/>
    <s v="Within Budget"/>
    <n v="531"/>
  </r>
  <r>
    <s v="Performance Review System"/>
    <s v="Infrastructure Setup"/>
    <x v="13"/>
    <s v="Medium"/>
    <d v="2024-10-06T00:00:00"/>
    <d v="2024-11-10T00:00:00"/>
    <d v="2024-12-15T00:00:00"/>
    <n v="1"/>
    <n v="97000"/>
    <n v="94600"/>
    <x v="0"/>
    <n v="2400"/>
    <s v="Within Budget"/>
    <n v="35"/>
  </r>
  <r>
    <s v="Analytics Dashboard"/>
    <s v="Backup Configuration"/>
    <x v="21"/>
    <s v="Medium"/>
    <d v="2024-11-04T00:00:00"/>
    <d v="2024-11-20T00:00:00"/>
    <m/>
    <n v="0.27"/>
    <n v="44000"/>
    <n v="34500"/>
    <x v="1"/>
    <n v="9500"/>
    <s v="Within Budget"/>
    <n v="670"/>
  </r>
  <r>
    <s v="Customer Portal"/>
    <s v="Backend Development"/>
    <x v="16"/>
    <s v="High"/>
    <d v="2024-03-09T00:00:00"/>
    <d v="2024-04-25T00:00:00"/>
    <d v="2024-04-20T00:00:00"/>
    <n v="1"/>
    <n v="32000"/>
    <n v="35600"/>
    <x v="0"/>
    <n v="-3600"/>
    <s v="Over Budget"/>
    <n v="-5"/>
  </r>
  <r>
    <s v="HR System Upgrade"/>
    <s v="Code Review"/>
    <x v="11"/>
    <s v="Medium"/>
    <d v="2025-04-06T00:00:00"/>
    <d v="2025-04-16T00:00:00"/>
    <m/>
    <n v="0"/>
    <n v="15000"/>
    <n v="0"/>
    <x v="3"/>
    <n v="15000"/>
    <s v="Within Budget"/>
    <n v="523"/>
  </r>
  <r>
    <s v="Training Platform"/>
    <s v="Contract Negotiation"/>
    <x v="6"/>
    <s v="Low"/>
    <d v="2024-12-30T00:00:00"/>
    <d v="2025-01-21T00:00:00"/>
    <m/>
    <n v="0.64"/>
    <n v="13000"/>
    <n v="6100"/>
    <x v="5"/>
    <n v="6900"/>
    <s v="Within Budget"/>
    <n v="608"/>
  </r>
  <r>
    <s v="ERP Implementation"/>
    <s v="User Acceptance Testing"/>
    <x v="10"/>
    <s v="Low"/>
    <d v="2024-06-12T00:00:00"/>
    <d v="2024-06-24T00:00:00"/>
    <m/>
    <n v="0.79"/>
    <n v="23000"/>
    <n v="18500"/>
    <x v="1"/>
    <n v="4500"/>
    <s v="Within Budget"/>
    <n v="819"/>
  </r>
  <r>
    <s v="Email Platform Migration"/>
    <s v="User Training"/>
    <x v="17"/>
    <s v="Medium"/>
    <d v="2025-03-25T00:00:00"/>
    <d v="2025-04-11T00:00:00"/>
    <m/>
    <n v="0.33"/>
    <n v="28000"/>
    <n v="7500"/>
    <x v="4"/>
    <n v="20500"/>
    <s v="Within Budget"/>
    <n v="528"/>
  </r>
  <r>
    <s v="API Gateway"/>
    <s v="Feedback Collection"/>
    <x v="5"/>
    <s v="Medium"/>
    <d v="2024-05-06T00:00:00"/>
    <d v="2024-06-03T00:00:00"/>
    <d v="2024-06-05T00:00:00"/>
    <n v="1"/>
    <n v="23000"/>
    <n v="26600"/>
    <x v="0"/>
    <n v="-3600"/>
    <s v="Over Budget"/>
    <n v="2"/>
  </r>
  <r>
    <s v="Security Audit"/>
    <s v="Integration Testing"/>
    <x v="10"/>
    <s v="Low"/>
    <d v="2025-04-12T00:00:00"/>
    <d v="2025-05-01T00:00:00"/>
    <m/>
    <n v="0"/>
    <n v="37000"/>
    <n v="0"/>
    <x v="3"/>
    <n v="37000"/>
    <s v="Within Budget"/>
    <n v="508"/>
  </r>
  <r>
    <s v="Annual Report"/>
    <s v="Unit Testing"/>
    <x v="4"/>
    <s v="Medium"/>
    <d v="2024-04-05T00:00:00"/>
    <d v="2024-04-17T00:00:00"/>
    <d v="2024-04-10T00:00:00"/>
    <n v="0.15"/>
    <n v="30000"/>
    <n v="5400"/>
    <x v="2"/>
    <n v="24600"/>
    <s v="Within Budget"/>
    <n v="-7"/>
  </r>
  <r>
    <s v="Brand Refresh"/>
    <s v="Retrospective"/>
    <x v="19"/>
    <s v="High"/>
    <d v="2024-12-04T00:00:00"/>
    <d v="2024-12-10T00:00:00"/>
    <m/>
    <n v="0.37"/>
    <n v="15000"/>
    <n v="13700"/>
    <x v="1"/>
    <n v="1300"/>
    <s v="Within Budget"/>
    <n v="650"/>
  </r>
  <r>
    <s v="HR System Upgrade"/>
    <s v="Compliance Check"/>
    <x v="24"/>
    <s v="Medium"/>
    <d v="2024-02-06T00:00:00"/>
    <d v="2024-02-24T00:00:00"/>
    <d v="2024-03-21T00:00:00"/>
    <n v="1"/>
    <n v="34000"/>
    <n v="46100"/>
    <x v="0"/>
    <n v="-12100"/>
    <s v="Over Budget"/>
    <n v="26"/>
  </r>
  <r>
    <s v="Product Launch Q1"/>
    <s v="Prototype Development"/>
    <x v="5"/>
    <s v="Medium"/>
    <d v="2024-11-14T00:00:00"/>
    <d v="2024-12-09T00:00:00"/>
    <d v="2024-12-10T00:00:00"/>
    <n v="1"/>
    <n v="12000"/>
    <n v="11700"/>
    <x v="0"/>
    <n v="300"/>
    <s v="Within Budget"/>
    <n v="1"/>
  </r>
  <r>
    <s v="Training Platform"/>
    <s v="Database Design"/>
    <x v="7"/>
    <s v="Low"/>
    <d v="2024-02-28T00:00:00"/>
    <d v="2024-03-30T00:00:00"/>
    <d v="2024-03-04T00:00:00"/>
    <n v="0.3"/>
    <n v="61000"/>
    <n v="9500"/>
    <x v="2"/>
    <n v="51500"/>
    <s v="Within Budget"/>
    <n v="-26"/>
  </r>
  <r>
    <s v="Data Warehouse Build"/>
    <s v="Go-Live Preparation"/>
    <x v="9"/>
    <s v="Critical"/>
    <d v="2024-04-09T00:00:00"/>
    <d v="2024-04-23T00:00:00"/>
    <d v="2024-04-24T00:00:00"/>
    <n v="1"/>
    <n v="25000"/>
    <n v="24500"/>
    <x v="0"/>
    <n v="500"/>
    <s v="Within Budget"/>
    <n v="1"/>
  </r>
  <r>
    <s v="Email Platform Migration"/>
    <s v="Analytics Integration"/>
    <x v="13"/>
    <s v="Low"/>
    <d v="2024-01-19T00:00:00"/>
    <d v="2024-02-06T00:00:00"/>
    <m/>
    <n v="0.4"/>
    <n v="39000"/>
    <n v="45000"/>
    <x v="1"/>
    <n v="-6000"/>
    <s v="Over Budget"/>
    <n v="958"/>
  </r>
  <r>
    <s v="DevOps Pipeline"/>
    <s v="Frontend Development"/>
    <x v="15"/>
    <s v="Medium"/>
    <d v="2024-07-06T00:00:00"/>
    <d v="2024-08-20T00:00:00"/>
    <d v="2024-08-14T00:00:00"/>
    <n v="1"/>
    <n v="63000"/>
    <n v="76100"/>
    <x v="0"/>
    <n v="-13100"/>
    <s v="Over Budget"/>
    <n v="-6"/>
  </r>
  <r>
    <s v="Onboarding Automation"/>
    <s v="A/B Testing Setup"/>
    <x v="10"/>
    <s v="Medium"/>
    <d v="2024-07-13T00:00:00"/>
    <d v="2024-07-29T00:00:00"/>
    <d v="2024-07-27T00:00:00"/>
    <n v="1"/>
    <n v="48000"/>
    <n v="42700"/>
    <x v="0"/>
    <n v="5300"/>
    <s v="Within Budget"/>
    <n v="-2"/>
  </r>
  <r>
    <s v="Analytics Dashboard"/>
    <s v="UI/UX Design"/>
    <x v="23"/>
    <s v="Low"/>
    <d v="2024-01-06T00:00:00"/>
    <d v="2024-02-14T00:00:00"/>
    <m/>
    <n v="0.28999999999999998"/>
    <n v="60000"/>
    <n v="57800"/>
    <x v="1"/>
    <n v="2200"/>
    <s v="Within Budget"/>
    <n v="950"/>
  </r>
  <r>
    <s v="Email Platform Migration"/>
    <s v="Post-Launch Review"/>
    <x v="5"/>
    <s v="Medium"/>
    <d v="2024-05-24T00:00:00"/>
    <d v="2024-06-01T00:00:00"/>
    <d v="2024-05-29T00:00:00"/>
    <n v="1"/>
    <n v="2000"/>
    <n v="2000"/>
    <x v="0"/>
    <n v="0"/>
    <s v="Within Budget"/>
    <n v="-3"/>
  </r>
  <r>
    <s v="Budget Planning Tool"/>
    <s v="Bug Fixes"/>
    <x v="23"/>
    <s v="High"/>
    <d v="2024-01-03T00:00:00"/>
    <d v="2024-01-29T00:00:00"/>
    <d v="2024-02-01T00:00:00"/>
    <n v="1"/>
    <n v="39000"/>
    <n v="35600"/>
    <x v="0"/>
    <n v="3400"/>
    <s v="Within Budget"/>
    <n v="3"/>
  </r>
  <r>
    <s v="Payment Integration"/>
    <s v="Code Review"/>
    <x v="5"/>
    <s v="Low"/>
    <d v="2024-01-02T00:00:00"/>
    <d v="2024-01-15T00:00:00"/>
    <m/>
    <n v="0.78"/>
    <n v="18000"/>
    <n v="20600"/>
    <x v="1"/>
    <n v="-2600"/>
    <s v="Over Budget"/>
    <n v="980"/>
  </r>
  <r>
    <s v="Data Warehouse Build"/>
    <s v="Training Materials"/>
    <x v="17"/>
    <s v="Low"/>
    <d v="2024-01-24T00:00:00"/>
    <d v="2024-02-02T00:00:00"/>
    <d v="2024-02-29T00:00:00"/>
    <n v="1"/>
    <n v="5000"/>
    <n v="4400"/>
    <x v="0"/>
    <n v="600"/>
    <s v="Within Budget"/>
    <n v="27"/>
  </r>
  <r>
    <s v="Onboarding Automation"/>
    <s v="User Acceptance Testing"/>
    <x v="17"/>
    <s v="Low"/>
    <d v="2024-02-11T00:00:00"/>
    <d v="2024-02-18T00:00:00"/>
    <d v="2024-02-13T00:00:00"/>
    <n v="0.2"/>
    <n v="10000"/>
    <n v="1300"/>
    <x v="2"/>
    <n v="8700"/>
    <s v="Within Budget"/>
    <n v="-5"/>
  </r>
  <r>
    <s v="Analytics Dashboard"/>
    <s v="Database Design"/>
    <x v="22"/>
    <s v="High"/>
    <d v="2024-04-07T00:00:00"/>
    <d v="2024-05-05T00:00:00"/>
    <d v="2024-04-29T00:00:00"/>
    <n v="1"/>
    <n v="10000"/>
    <n v="9400"/>
    <x v="0"/>
    <n v="600"/>
    <s v="Within Budget"/>
    <n v="-6"/>
  </r>
  <r>
    <s v="DevOps Pipeline"/>
    <s v="Integration Testing"/>
    <x v="15"/>
    <s v="Low"/>
    <d v="2024-08-26T00:00:00"/>
    <d v="2024-09-03T00:00:00"/>
    <d v="2024-08-29T00:00:00"/>
    <n v="0.2"/>
    <n v="11000"/>
    <n v="1000"/>
    <x v="2"/>
    <n v="10000"/>
    <s v="Within Budget"/>
    <n v="-5"/>
  </r>
  <r>
    <s v="Training Platform"/>
    <s v="Wireframing"/>
    <x v="20"/>
    <s v="Medium"/>
    <d v="2025-01-01T00:00:00"/>
    <d v="2025-02-11T00:00:00"/>
    <m/>
    <n v="0.69"/>
    <n v="95000"/>
    <n v="72800"/>
    <x v="1"/>
    <n v="22200"/>
    <s v="Within Budget"/>
    <n v="587"/>
  </r>
  <r>
    <s v="Budget Planning Tool"/>
    <s v="Content Creation"/>
    <x v="18"/>
    <s v="Medium"/>
    <d v="2025-05-27T00:00:00"/>
    <d v="2025-06-13T00:00:00"/>
    <m/>
    <n v="0"/>
    <n v="27000"/>
    <n v="0"/>
    <x v="3"/>
    <n v="27000"/>
    <s v="Within Budget"/>
    <n v="465"/>
  </r>
  <r>
    <s v="CRM Migration"/>
    <s v="Data Migration"/>
    <x v="4"/>
    <s v="High"/>
    <d v="2024-10-08T00:00:00"/>
    <d v="2024-11-22T00:00:00"/>
    <d v="2024-11-14T00:00:00"/>
    <n v="1"/>
    <n v="94000"/>
    <n v="114600"/>
    <x v="0"/>
    <n v="-20600"/>
    <s v="Over Budget"/>
    <n v="-8"/>
  </r>
  <r>
    <s v="Product Launch Q2"/>
    <s v="Asset Design"/>
    <x v="22"/>
    <s v="Low"/>
    <d v="2025-04-22T00:00:00"/>
    <d v="2025-05-27T00:00:00"/>
    <m/>
    <n v="0.28000000000000003"/>
    <n v="54000"/>
    <n v="15700"/>
    <x v="4"/>
    <n v="38300"/>
    <s v="Within Budget"/>
    <n v="482"/>
  </r>
  <r>
    <s v="Inventory System"/>
    <s v="Training Materials"/>
    <x v="8"/>
    <s v="High"/>
    <d v="2024-11-29T00:00:00"/>
    <d v="2024-12-14T00:00:00"/>
    <m/>
    <n v="0.5"/>
    <n v="26000"/>
    <n v="14900"/>
    <x v="1"/>
    <n v="11100"/>
    <s v="Within Budget"/>
    <n v="646"/>
  </r>
  <r>
    <s v="Chatbot Development"/>
    <s v="Compliance Check"/>
    <x v="5"/>
    <s v="Medium"/>
    <d v="2024-12-05T00:00:00"/>
    <d v="2024-12-27T00:00:00"/>
    <m/>
    <n v="0.39"/>
    <n v="23000"/>
    <n v="16000"/>
    <x v="1"/>
    <n v="7000"/>
    <s v="Within Budget"/>
    <n v="633"/>
  </r>
  <r>
    <s v="Product Launch Q2"/>
    <s v="Monitoring Setup"/>
    <x v="20"/>
    <s v="Medium"/>
    <d v="2024-08-19T00:00:00"/>
    <d v="2024-09-19T00:00:00"/>
    <d v="2024-09-27T00:00:00"/>
    <n v="1"/>
    <n v="100000"/>
    <n v="129100"/>
    <x v="0"/>
    <n v="-29100"/>
    <s v="Over Budget"/>
    <n v="8"/>
  </r>
  <r>
    <s v="Performance Review System"/>
    <s v="Performance Testing"/>
    <x v="22"/>
    <s v="Low"/>
    <d v="2025-04-29T00:00:00"/>
    <d v="2025-05-17T00:00:00"/>
    <m/>
    <n v="0"/>
    <n v="11000"/>
    <n v="0"/>
    <x v="3"/>
    <n v="11000"/>
    <s v="Within Budget"/>
    <n v="492"/>
  </r>
  <r>
    <s v="Product Launch Q1"/>
    <s v="Frontend Development"/>
    <x v="11"/>
    <s v="Low"/>
    <d v="2025-06-18T00:00:00"/>
    <d v="2025-07-18T00:00:00"/>
    <m/>
    <n v="0"/>
    <n v="24000"/>
    <n v="0"/>
    <x v="3"/>
    <n v="24000"/>
    <s v="Within Budget"/>
    <n v="430"/>
  </r>
  <r>
    <s v="Budget Planning Tool"/>
    <s v="Iteration Planning"/>
    <x v="24"/>
    <s v="Medium"/>
    <d v="2025-03-02T00:00:00"/>
    <d v="2025-03-18T00:00:00"/>
    <m/>
    <n v="0.77"/>
    <n v="24000"/>
    <n v="24400"/>
    <x v="1"/>
    <n v="-400"/>
    <s v="Over Budget"/>
    <n v="552"/>
  </r>
  <r>
    <s v="Budget Planning Tool"/>
    <s v="API Development"/>
    <x v="16"/>
    <s v="Low"/>
    <d v="2025-05-13T00:00:00"/>
    <d v="2025-06-17T00:00:00"/>
    <m/>
    <n v="0.51"/>
    <n v="51000"/>
    <n v="27700"/>
    <x v="4"/>
    <n v="23300"/>
    <s v="Within Budget"/>
    <n v="461"/>
  </r>
  <r>
    <s v="Supply Chain Optimization"/>
    <s v="Wireframing"/>
    <x v="10"/>
    <s v="Medium"/>
    <d v="2024-06-27T00:00:00"/>
    <d v="2024-08-03T00:00:00"/>
    <d v="2024-09-03T00:00:00"/>
    <n v="1"/>
    <n v="36000"/>
    <n v="36900"/>
    <x v="0"/>
    <n v="-900"/>
    <s v="Over Budget"/>
    <n v="31"/>
  </r>
  <r>
    <s v="Analytics Dashboard"/>
    <s v="Optimization"/>
    <x v="1"/>
    <s v="Low"/>
    <d v="2024-03-29T00:00:00"/>
    <d v="2024-04-18T00:00:00"/>
    <d v="2024-05-16T00:00:00"/>
    <n v="1"/>
    <n v="20000"/>
    <n v="20500"/>
    <x v="0"/>
    <n v="-500"/>
    <s v="Over Budget"/>
    <n v="28"/>
  </r>
  <r>
    <s v="Product Launch Q1"/>
    <s v="Monitoring Setup"/>
    <x v="1"/>
    <s v="Low"/>
    <d v="2025-04-27T00:00:00"/>
    <d v="2025-05-22T00:00:00"/>
    <m/>
    <n v="0"/>
    <n v="29000"/>
    <n v="0"/>
    <x v="3"/>
    <n v="29000"/>
    <s v="Within Budget"/>
    <n v="487"/>
  </r>
  <r>
    <s v="Website Redesign"/>
    <s v="Optimization"/>
    <x v="2"/>
    <s v="Medium"/>
    <d v="2024-07-25T00:00:00"/>
    <d v="2024-08-25T00:00:00"/>
    <d v="2024-08-28T00:00:00"/>
    <n v="1"/>
    <n v="53000"/>
    <n v="46400"/>
    <x v="0"/>
    <n v="6600"/>
    <s v="Within Budget"/>
    <n v="3"/>
  </r>
  <r>
    <s v="HR System Upgrade"/>
    <s v="Communication Plan"/>
    <x v="6"/>
    <s v="Low"/>
    <d v="2025-03-22T00:00:00"/>
    <d v="2025-04-23T00:00:00"/>
    <m/>
    <n v="0.59"/>
    <n v="61000"/>
    <n v="35900"/>
    <x v="4"/>
    <n v="25100"/>
    <s v="Within Budget"/>
    <n v="516"/>
  </r>
  <r>
    <s v="HR System Upgrade"/>
    <s v="Vendor Evaluation"/>
    <x v="6"/>
    <s v="Low"/>
    <d v="2025-03-21T00:00:00"/>
    <d v="2025-04-25T00:00:00"/>
    <m/>
    <n v="0.11"/>
    <n v="32000"/>
    <n v="2900"/>
    <x v="4"/>
    <n v="29100"/>
    <s v="Within Budget"/>
    <n v="514"/>
  </r>
  <r>
    <s v="Budget Planning Tool"/>
    <s v="Requirements Gathering"/>
    <x v="13"/>
    <s v="High"/>
    <d v="2025-01-01T00:00:00"/>
    <d v="2025-01-15T00:00:00"/>
    <m/>
    <n v="0.63"/>
    <n v="23000"/>
    <n v="13200"/>
    <x v="1"/>
    <n v="9800"/>
    <s v="Within Budget"/>
    <n v="614"/>
  </r>
  <r>
    <s v="Website Redesign"/>
    <s v="Backend Development"/>
    <x v="2"/>
    <s v="Critical"/>
    <d v="2024-01-21T00:00:00"/>
    <d v="2024-03-12T00:00:00"/>
    <d v="2024-03-17T00:00:00"/>
    <n v="1"/>
    <n v="53000"/>
    <n v="72400"/>
    <x v="0"/>
    <n v="-19400"/>
    <s v="Over Budget"/>
    <n v="5"/>
  </r>
  <r>
    <s v="Training Platform"/>
    <s v="Status Reporting"/>
    <x v="7"/>
    <s v="High"/>
    <d v="2024-04-20T00:00:00"/>
    <d v="2024-05-02T00:00:00"/>
    <m/>
    <n v="0.33"/>
    <n v="16000"/>
    <n v="20100"/>
    <x v="1"/>
    <n v="-4100"/>
    <s v="Over Budget"/>
    <n v="872"/>
  </r>
  <r>
    <s v="Annual Report"/>
    <s v="Market Research"/>
    <x v="6"/>
    <s v="High"/>
    <d v="2025-04-24T00:00:00"/>
    <d v="2025-05-04T00:00:00"/>
    <m/>
    <n v="0"/>
    <n v="3000"/>
    <n v="0"/>
    <x v="3"/>
    <n v="3000"/>
    <s v="Within Budget"/>
    <n v="505"/>
  </r>
  <r>
    <s v="DevOps Pipeline"/>
    <s v="Stakeholder Interviews"/>
    <x v="14"/>
    <s v="Low"/>
    <d v="2025-02-16T00:00:00"/>
    <d v="2025-02-25T00:00:00"/>
    <m/>
    <n v="0.71"/>
    <n v="3000"/>
    <n v="1900"/>
    <x v="1"/>
    <n v="1100"/>
    <s v="Within Budget"/>
    <n v="573"/>
  </r>
  <r>
    <s v="CRM Migration"/>
    <s v="Security Review"/>
    <x v="16"/>
    <s v="Low"/>
    <d v="2025-04-10T00:00:00"/>
    <d v="2025-05-10T00:00:00"/>
    <m/>
    <n v="0"/>
    <n v="10000"/>
    <n v="0"/>
    <x v="3"/>
    <n v="10000"/>
    <s v="Within Budget"/>
    <n v="499"/>
  </r>
  <r>
    <s v="Product Launch Q1"/>
    <s v="Vendor Evaluation"/>
    <x v="12"/>
    <s v="High"/>
    <d v="2025-05-25T00:00:00"/>
    <d v="2025-06-25T00:00:00"/>
    <m/>
    <n v="0"/>
    <n v="82000"/>
    <n v="0"/>
    <x v="3"/>
    <n v="82000"/>
    <s v="Within Budget"/>
    <n v="453"/>
  </r>
  <r>
    <s v="Supply Chain Optimization"/>
    <s v="UI/UX Design"/>
    <x v="7"/>
    <s v="Low"/>
    <d v="2024-11-09T00:00:00"/>
    <d v="2024-12-08T00:00:00"/>
    <d v="2024-12-10T00:00:00"/>
    <n v="1"/>
    <n v="31000"/>
    <n v="29600"/>
    <x v="0"/>
    <n v="1400"/>
    <s v="Within Budget"/>
    <n v="2"/>
  </r>
  <r>
    <s v="Social Media Revamp"/>
    <s v="Content Creation"/>
    <x v="23"/>
    <s v="High"/>
    <d v="2025-01-29T00:00:00"/>
    <d v="2025-03-05T00:00:00"/>
    <d v="2025-04-19T00:00:00"/>
    <n v="1"/>
    <n v="48000"/>
    <n v="50200"/>
    <x v="0"/>
    <n v="-2200"/>
    <s v="Over Budget"/>
    <n v="45"/>
  </r>
  <r>
    <s v="Chatbot Development"/>
    <s v="User Acceptance Testing"/>
    <x v="20"/>
    <s v="Medium"/>
    <d v="2024-09-16T00:00:00"/>
    <d v="2024-10-10T00:00:00"/>
    <d v="2024-09-28T00:00:00"/>
    <n v="0.15"/>
    <n v="17000"/>
    <n v="4800"/>
    <x v="2"/>
    <n v="12200"/>
    <s v="Within Budget"/>
    <n v="-12"/>
  </r>
  <r>
    <s v="Performance Review System"/>
    <s v="Iteration Planning"/>
    <x v="16"/>
    <s v="Low"/>
    <d v="2024-11-25T00:00:00"/>
    <d v="2024-12-23T00:00:00"/>
    <m/>
    <n v="0.3"/>
    <n v="30000"/>
    <n v="27900"/>
    <x v="1"/>
    <n v="2100"/>
    <s v="Within Budget"/>
    <n v="637"/>
  </r>
  <r>
    <s v="Training Platform"/>
    <s v="Security Review"/>
    <x v="21"/>
    <s v="Medium"/>
    <d v="2024-11-18T00:00:00"/>
    <d v="2024-12-09T00:00:00"/>
    <d v="2024-11-21T00:00:00"/>
    <n v="0.3"/>
    <n v="49000"/>
    <n v="18000"/>
    <x v="2"/>
    <n v="31000"/>
    <s v="Within Budget"/>
    <n v="-18"/>
  </r>
  <r>
    <s v="Budget Planning Tool"/>
    <s v="Competitive Analysis"/>
    <x v="5"/>
    <s v="High"/>
    <d v="2025-04-29T00:00:00"/>
    <d v="2025-05-28T00:00:00"/>
    <m/>
    <n v="0"/>
    <n v="21000"/>
    <n v="0"/>
    <x v="3"/>
    <n v="21000"/>
    <s v="Within Budget"/>
    <n v="481"/>
  </r>
  <r>
    <s v="Marketing Automation"/>
    <s v="Accessibility Audit"/>
    <x v="22"/>
    <s v="High"/>
    <d v="2025-03-11T00:00:00"/>
    <d v="2025-04-01T00:00:00"/>
    <m/>
    <n v="0.39"/>
    <n v="10000"/>
    <n v="4500"/>
    <x v="4"/>
    <n v="5500"/>
    <s v="Within Budget"/>
    <n v="538"/>
  </r>
  <r>
    <s v="Onboarding Automation"/>
    <s v="Prototype Development"/>
    <x v="12"/>
    <s v="High"/>
    <d v="2024-11-21T00:00:00"/>
    <d v="2024-12-16T00:00:00"/>
    <d v="2024-12-22T00:00:00"/>
    <n v="1"/>
    <n v="21000"/>
    <n v="28100"/>
    <x v="0"/>
    <n v="-7100"/>
    <s v="Over Budget"/>
    <n v="6"/>
  </r>
  <r>
    <s v="Vendor Portal"/>
    <s v="Analytics Integration"/>
    <x v="16"/>
    <s v="High"/>
    <d v="2024-11-02T00:00:00"/>
    <d v="2024-11-26T00:00:00"/>
    <d v="2024-11-26T00:00:00"/>
    <n v="1"/>
    <n v="43000"/>
    <n v="44900"/>
    <x v="0"/>
    <n v="-1900"/>
    <s v="Over Budget"/>
    <n v="0"/>
  </r>
  <r>
    <s v="DevOps Pipeline"/>
    <s v="Technical Architecture"/>
    <x v="9"/>
    <s v="Critical"/>
    <d v="2025-03-17T00:00:00"/>
    <d v="2025-04-13T00:00:00"/>
    <m/>
    <n v="0"/>
    <n v="37000"/>
    <n v="0"/>
    <x v="3"/>
    <n v="37000"/>
    <s v="Within Budget"/>
    <n v="526"/>
  </r>
  <r>
    <s v="Inventory System"/>
    <s v="Sprint Planning"/>
    <x v="7"/>
    <s v="Medium"/>
    <d v="2024-09-20T00:00:00"/>
    <d v="2024-10-05T00:00:00"/>
    <m/>
    <n v="0.75"/>
    <n v="39000"/>
    <n v="41200"/>
    <x v="1"/>
    <n v="-2200"/>
    <s v="Over Budget"/>
    <n v="716"/>
  </r>
  <r>
    <s v="Marketing Automation"/>
    <s v="Wireframing"/>
    <x v="4"/>
    <s v="Medium"/>
    <d v="2025-05-16T00:00:00"/>
    <d v="2025-06-19T00:00:00"/>
    <m/>
    <n v="0"/>
    <n v="96000"/>
    <n v="0"/>
    <x v="3"/>
    <n v="96000"/>
    <s v="Within Budget"/>
    <n v="459"/>
  </r>
  <r>
    <s v="Marketing Automation"/>
    <s v="Change Management"/>
    <x v="24"/>
    <s v="Critical"/>
    <d v="2024-08-15T00:00:00"/>
    <d v="2024-08-23T00:00:00"/>
    <d v="2024-08-31T00:00:00"/>
    <n v="1"/>
    <n v="11000"/>
    <n v="12500"/>
    <x v="0"/>
    <n v="-1500"/>
    <s v="Over Budget"/>
    <n v="8"/>
  </r>
  <r>
    <s v="Customer Portal"/>
    <s v="User Acceptance Testing"/>
    <x v="4"/>
    <s v="Low"/>
    <d v="2024-09-29T00:00:00"/>
    <d v="2024-10-22T00:00:00"/>
    <d v="2024-11-09T00:00:00"/>
    <n v="1"/>
    <n v="10000"/>
    <n v="12200"/>
    <x v="0"/>
    <n v="-2200"/>
    <s v="Over Budget"/>
    <n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D5D1F2-AA8A-4D04-8FA8-8C26A5747F94}" name="Dashboar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4">
    <pivotField showAll="0"/>
    <pivotField showAll="0"/>
    <pivotField showAll="0">
      <items count="26">
        <item h="1" x="24"/>
        <item h="1" x="12"/>
        <item x="1"/>
        <item h="1" x="17"/>
        <item h="1" x="0"/>
        <item h="1" x="16"/>
        <item h="1" x="21"/>
        <item h="1" x="2"/>
        <item h="1" x="6"/>
        <item h="1" x="5"/>
        <item h="1" x="8"/>
        <item h="1" x="7"/>
        <item h="1" x="10"/>
        <item h="1" x="9"/>
        <item h="1" x="11"/>
        <item h="1" x="13"/>
        <item h="1" x="20"/>
        <item h="1" x="4"/>
        <item h="1" x="19"/>
        <item h="1" x="22"/>
        <item h="1" x="3"/>
        <item h="1" x="14"/>
        <item h="1" x="23"/>
        <item h="1" x="15"/>
        <item h="1" x="18"/>
        <item t="default"/>
      </items>
    </pivotField>
    <pivotField showAll="0"/>
    <pivotField numFmtId="14" showAll="0"/>
    <pivotField numFmtId="14" showAll="0"/>
    <pivotField showAll="0"/>
    <pivotField numFmtId="9" showAll="0"/>
    <pivotField dataField="1" numFmtId="164" showAll="0"/>
    <pivotField dataField="1" numFmtId="164" showAll="0"/>
    <pivotField axis="axisRow" showAll="0">
      <items count="7">
        <item x="2"/>
        <item x="0"/>
        <item x="1"/>
        <item x="4"/>
        <item x="3"/>
        <item x="5"/>
        <item t="default"/>
      </items>
    </pivotField>
    <pivotField dataField="1" numFmtId="164" showAll="0"/>
    <pivotField showAll="0"/>
    <pivotField showAll="0"/>
  </pivotFields>
  <rowFields count="1">
    <field x="10"/>
  </rowFields>
  <rowItems count="7">
    <i>
      <x/>
    </i>
    <i>
      <x v="1"/>
    </i>
    <i>
      <x v="2"/>
    </i>
    <i>
      <x v="3"/>
    </i>
    <i>
      <x v="4"/>
    </i>
    <i>
      <x v="5"/>
    </i>
    <i t="grand">
      <x/>
    </i>
  </rowItems>
  <colFields count="1">
    <field x="-2"/>
  </colFields>
  <colItems count="3">
    <i>
      <x/>
    </i>
    <i i="1">
      <x v="1"/>
    </i>
    <i i="2">
      <x v="2"/>
    </i>
  </colItems>
  <dataFields count="3">
    <dataField name="Sum of Planned Budget" fld="8" baseField="0" baseItem="0" numFmtId="164"/>
    <dataField name="Sum of Actual Cost" fld="9" baseField="0" baseItem="0" numFmtId="164"/>
    <dataField name="Sum of Cost Varianc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D416F23C-A594-430E-BF7A-58A8BA25913A}" sourceName="Assigned To">
  <pivotTables>
    <pivotTable tabId="2" name="Dashboard"/>
  </pivotTables>
  <data>
    <tabular pivotCacheId="932965646">
      <items count="25">
        <i x="24"/>
        <i x="12"/>
        <i x="1" s="1"/>
        <i x="17"/>
        <i x="0"/>
        <i x="16"/>
        <i x="21"/>
        <i x="2"/>
        <i x="6"/>
        <i x="5"/>
        <i x="8"/>
        <i x="7"/>
        <i x="10"/>
        <i x="9"/>
        <i x="11"/>
        <i x="13"/>
        <i x="20"/>
        <i x="4"/>
        <i x="19"/>
        <i x="22"/>
        <i x="3"/>
        <i x="14"/>
        <i x="23"/>
        <i x="15"/>
        <i x="1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igned To" xr10:uid="{E30874D7-C687-4917-B417-83B23810E911}" cache="Slicer_Assigned_To" caption="Assigned To"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6585-5C0A-4FB1-BF0C-BACCDF7346B9}">
  <dimension ref="A3:D10"/>
  <sheetViews>
    <sheetView tabSelected="1" zoomScale="205" zoomScaleNormal="205" workbookViewId="0">
      <selection activeCell="C5" sqref="C5"/>
    </sheetView>
  </sheetViews>
  <sheetFormatPr defaultRowHeight="15" x14ac:dyDescent="0.25"/>
  <cols>
    <col min="1" max="1" width="13.42578125" bestFit="1" customWidth="1"/>
    <col min="2" max="2" width="22.140625" bestFit="1" customWidth="1"/>
    <col min="3" max="3" width="18.28515625" bestFit="1" customWidth="1"/>
    <col min="4" max="4" width="20.42578125" bestFit="1" customWidth="1"/>
  </cols>
  <sheetData>
    <row r="3" spans="1:4" x14ac:dyDescent="0.25">
      <c r="A3" s="6" t="s">
        <v>129</v>
      </c>
      <c r="B3" t="s">
        <v>131</v>
      </c>
      <c r="C3" t="s">
        <v>132</v>
      </c>
      <c r="D3" t="s">
        <v>133</v>
      </c>
    </row>
    <row r="4" spans="1:4" x14ac:dyDescent="0.25">
      <c r="A4" s="7" t="s">
        <v>27</v>
      </c>
      <c r="B4" s="4">
        <v>7000</v>
      </c>
      <c r="C4" s="4">
        <v>400</v>
      </c>
      <c r="D4" s="4">
        <v>6600</v>
      </c>
    </row>
    <row r="5" spans="1:4" x14ac:dyDescent="0.25">
      <c r="A5" s="7" t="s">
        <v>15</v>
      </c>
      <c r="B5" s="4">
        <v>750000</v>
      </c>
      <c r="C5" s="4">
        <v>820000</v>
      </c>
      <c r="D5" s="4">
        <v>-70000</v>
      </c>
    </row>
    <row r="6" spans="1:4" x14ac:dyDescent="0.25">
      <c r="A6" s="7" t="s">
        <v>19</v>
      </c>
      <c r="B6" s="4">
        <v>36000</v>
      </c>
      <c r="C6" s="4">
        <v>20100</v>
      </c>
      <c r="D6" s="4">
        <v>15900</v>
      </c>
    </row>
    <row r="7" spans="1:4" x14ac:dyDescent="0.25">
      <c r="A7" s="7" t="s">
        <v>65</v>
      </c>
      <c r="B7" s="4">
        <v>232000</v>
      </c>
      <c r="C7" s="4">
        <v>102100</v>
      </c>
      <c r="D7" s="4">
        <v>129900</v>
      </c>
    </row>
    <row r="8" spans="1:4" x14ac:dyDescent="0.25">
      <c r="A8" s="7" t="s">
        <v>48</v>
      </c>
      <c r="B8" s="4">
        <v>474000</v>
      </c>
      <c r="C8" s="4">
        <v>0</v>
      </c>
      <c r="D8" s="4">
        <v>474000</v>
      </c>
    </row>
    <row r="9" spans="1:4" x14ac:dyDescent="0.25">
      <c r="A9" s="7" t="s">
        <v>94</v>
      </c>
      <c r="B9" s="4">
        <v>24000</v>
      </c>
      <c r="C9" s="4">
        <v>11600</v>
      </c>
      <c r="D9" s="4">
        <v>12400</v>
      </c>
    </row>
    <row r="10" spans="1:4" x14ac:dyDescent="0.25">
      <c r="A10" s="7" t="s">
        <v>130</v>
      </c>
      <c r="B10" s="4">
        <v>1523000</v>
      </c>
      <c r="C10" s="4">
        <v>954200</v>
      </c>
      <c r="D10" s="4">
        <v>568800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7AF2-9961-4C97-9183-ABFBA44AA47B}">
  <sheetPr codeName="Sheet15"/>
  <dimension ref="A1:N1001"/>
  <sheetViews>
    <sheetView zoomScale="145" zoomScaleNormal="145" workbookViewId="0">
      <pane ySplit="1" topLeftCell="A968" activePane="bottomLeft" state="frozen"/>
      <selection pane="bottomLeft" activeCell="O6" sqref="O6"/>
    </sheetView>
  </sheetViews>
  <sheetFormatPr defaultRowHeight="15" x14ac:dyDescent="0.25"/>
  <cols>
    <col min="5" max="5" width="16.42578125" bestFit="1" customWidth="1"/>
    <col min="6" max="6" width="15.5703125" bestFit="1" customWidth="1"/>
    <col min="7" max="7" width="14.140625" bestFit="1" customWidth="1"/>
    <col min="10" max="10" width="11.28515625" bestFit="1" customWidth="1"/>
    <col min="13" max="13" width="13.57031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5" t="s">
        <v>126</v>
      </c>
      <c r="M1" s="5" t="s">
        <v>127</v>
      </c>
      <c r="N1" s="5" t="s">
        <v>128</v>
      </c>
    </row>
    <row r="2" spans="1:14" x14ac:dyDescent="0.25">
      <c r="A2" t="s">
        <v>11</v>
      </c>
      <c r="B2" t="s">
        <v>12</v>
      </c>
      <c r="C2" t="s">
        <v>13</v>
      </c>
      <c r="D2" t="s">
        <v>14</v>
      </c>
      <c r="E2" s="2">
        <v>45387</v>
      </c>
      <c r="F2" s="2">
        <v>45409</v>
      </c>
      <c r="G2" s="2">
        <v>45436</v>
      </c>
      <c r="H2" s="3">
        <v>1</v>
      </c>
      <c r="I2" s="4">
        <v>40000</v>
      </c>
      <c r="J2" s="4">
        <v>40800</v>
      </c>
      <c r="K2" t="s">
        <v>15</v>
      </c>
      <c r="L2" s="4">
        <f>I2-J2</f>
        <v>-800</v>
      </c>
      <c r="M2" t="str">
        <f>IF(L2&lt;0, "Over Budget", "Within Budget")</f>
        <v>Over Budget</v>
      </c>
      <c r="N2">
        <f ca="1">IF(G2="",TODAY()-F2,G2-F2)</f>
        <v>27</v>
      </c>
    </row>
    <row r="3" spans="1:14" x14ac:dyDescent="0.25">
      <c r="A3" t="s">
        <v>16</v>
      </c>
      <c r="B3" t="s">
        <v>17</v>
      </c>
      <c r="C3" t="s">
        <v>18</v>
      </c>
      <c r="D3" t="s">
        <v>14</v>
      </c>
      <c r="E3" s="2">
        <v>45295</v>
      </c>
      <c r="F3" s="2">
        <v>45315</v>
      </c>
      <c r="G3" s="2"/>
      <c r="H3" s="3">
        <v>0.23</v>
      </c>
      <c r="I3" s="4">
        <v>34000</v>
      </c>
      <c r="J3" s="4">
        <v>17900</v>
      </c>
      <c r="K3" t="s">
        <v>19</v>
      </c>
      <c r="L3" s="4">
        <f t="shared" ref="L3:L66" si="0">I3-J3</f>
        <v>16100</v>
      </c>
      <c r="M3" t="str">
        <f t="shared" ref="M3:M66" si="1">IF(L3&lt;0, "Over Budget", "Within Budget")</f>
        <v>Within Budget</v>
      </c>
      <c r="N3">
        <f t="shared" ref="N3:N66" ca="1" si="2">IF(G3="",TODAY()-F3,G3-F3)</f>
        <v>971</v>
      </c>
    </row>
    <row r="4" spans="1:14" x14ac:dyDescent="0.25">
      <c r="A4" t="s">
        <v>20</v>
      </c>
      <c r="B4" t="s">
        <v>21</v>
      </c>
      <c r="C4" t="s">
        <v>22</v>
      </c>
      <c r="D4" t="s">
        <v>23</v>
      </c>
      <c r="E4" s="2">
        <v>45579</v>
      </c>
      <c r="F4" s="2">
        <v>45586</v>
      </c>
      <c r="G4" s="2">
        <v>45589</v>
      </c>
      <c r="H4" s="3">
        <v>1</v>
      </c>
      <c r="I4" s="4">
        <v>2000</v>
      </c>
      <c r="J4" s="4">
        <v>1800</v>
      </c>
      <c r="K4" t="s">
        <v>15</v>
      </c>
      <c r="L4" s="4">
        <f t="shared" si="0"/>
        <v>200</v>
      </c>
      <c r="M4" t="str">
        <f t="shared" si="1"/>
        <v>Within Budget</v>
      </c>
      <c r="N4">
        <f t="shared" ca="1" si="2"/>
        <v>3</v>
      </c>
    </row>
    <row r="5" spans="1:14" x14ac:dyDescent="0.25">
      <c r="A5" t="s">
        <v>24</v>
      </c>
      <c r="B5" t="s">
        <v>25</v>
      </c>
      <c r="C5" t="s">
        <v>26</v>
      </c>
      <c r="D5" t="s">
        <v>14</v>
      </c>
      <c r="E5" s="2">
        <v>45406</v>
      </c>
      <c r="F5" s="2">
        <v>45421</v>
      </c>
      <c r="G5" s="2">
        <v>45410</v>
      </c>
      <c r="H5" s="3">
        <v>0.3</v>
      </c>
      <c r="I5" s="4">
        <v>18000</v>
      </c>
      <c r="J5" s="4">
        <v>2700</v>
      </c>
      <c r="K5" t="s">
        <v>27</v>
      </c>
      <c r="L5" s="4">
        <f t="shared" si="0"/>
        <v>15300</v>
      </c>
      <c r="M5" t="str">
        <f t="shared" si="1"/>
        <v>Within Budget</v>
      </c>
      <c r="N5">
        <f t="shared" ca="1" si="2"/>
        <v>-11</v>
      </c>
    </row>
    <row r="6" spans="1:14" x14ac:dyDescent="0.25">
      <c r="A6" t="s">
        <v>20</v>
      </c>
      <c r="B6" t="s">
        <v>21</v>
      </c>
      <c r="C6" t="s">
        <v>28</v>
      </c>
      <c r="D6" t="s">
        <v>14</v>
      </c>
      <c r="E6" s="2">
        <v>45667</v>
      </c>
      <c r="F6" s="2">
        <v>45700</v>
      </c>
      <c r="G6" s="2">
        <v>45699</v>
      </c>
      <c r="H6" s="3">
        <v>1</v>
      </c>
      <c r="I6" s="4">
        <v>31000</v>
      </c>
      <c r="J6" s="4">
        <v>32500</v>
      </c>
      <c r="K6" t="s">
        <v>15</v>
      </c>
      <c r="L6" s="4">
        <f t="shared" si="0"/>
        <v>-1500</v>
      </c>
      <c r="M6" t="str">
        <f t="shared" si="1"/>
        <v>Over Budget</v>
      </c>
      <c r="N6">
        <f t="shared" ca="1" si="2"/>
        <v>-1</v>
      </c>
    </row>
    <row r="7" spans="1:14" x14ac:dyDescent="0.25">
      <c r="A7" t="s">
        <v>29</v>
      </c>
      <c r="B7" t="s">
        <v>30</v>
      </c>
      <c r="C7" t="s">
        <v>31</v>
      </c>
      <c r="D7" t="s">
        <v>32</v>
      </c>
      <c r="E7" s="2">
        <v>45682</v>
      </c>
      <c r="F7" s="2">
        <v>45716</v>
      </c>
      <c r="G7" s="2">
        <v>45713</v>
      </c>
      <c r="H7" s="3">
        <v>1</v>
      </c>
      <c r="I7" s="4">
        <v>100000</v>
      </c>
      <c r="J7" s="4">
        <v>116000</v>
      </c>
      <c r="K7" t="s">
        <v>15</v>
      </c>
      <c r="L7" s="4">
        <f t="shared" si="0"/>
        <v>-16000</v>
      </c>
      <c r="M7" t="str">
        <f t="shared" si="1"/>
        <v>Over Budget</v>
      </c>
      <c r="N7">
        <f t="shared" ca="1" si="2"/>
        <v>-3</v>
      </c>
    </row>
    <row r="8" spans="1:14" x14ac:dyDescent="0.25">
      <c r="A8" t="s">
        <v>33</v>
      </c>
      <c r="B8" t="s">
        <v>34</v>
      </c>
      <c r="C8" t="s">
        <v>35</v>
      </c>
      <c r="D8" t="s">
        <v>36</v>
      </c>
      <c r="E8" s="2">
        <v>45615</v>
      </c>
      <c r="F8" s="2">
        <v>45631</v>
      </c>
      <c r="G8" s="2">
        <v>45619</v>
      </c>
      <c r="H8" s="3">
        <v>0.1</v>
      </c>
      <c r="I8" s="4">
        <v>44000</v>
      </c>
      <c r="J8" s="4">
        <v>12900</v>
      </c>
      <c r="K8" t="s">
        <v>27</v>
      </c>
      <c r="L8" s="4">
        <f t="shared" si="0"/>
        <v>31100</v>
      </c>
      <c r="M8" t="str">
        <f t="shared" si="1"/>
        <v>Within Budget</v>
      </c>
      <c r="N8">
        <f t="shared" ca="1" si="2"/>
        <v>-12</v>
      </c>
    </row>
    <row r="9" spans="1:14" x14ac:dyDescent="0.25">
      <c r="A9" t="s">
        <v>37</v>
      </c>
      <c r="B9" t="s">
        <v>38</v>
      </c>
      <c r="C9" t="s">
        <v>39</v>
      </c>
      <c r="D9" t="s">
        <v>14</v>
      </c>
      <c r="E9" s="2">
        <v>45453</v>
      </c>
      <c r="F9" s="2">
        <v>45462</v>
      </c>
      <c r="G9" s="2">
        <v>45457</v>
      </c>
      <c r="H9" s="3">
        <v>0.1</v>
      </c>
      <c r="I9" s="4">
        <v>14000</v>
      </c>
      <c r="J9" s="4">
        <v>1200</v>
      </c>
      <c r="K9" t="s">
        <v>27</v>
      </c>
      <c r="L9" s="4">
        <f t="shared" si="0"/>
        <v>12800</v>
      </c>
      <c r="M9" t="str">
        <f t="shared" si="1"/>
        <v>Within Budget</v>
      </c>
      <c r="N9">
        <f t="shared" ca="1" si="2"/>
        <v>-5</v>
      </c>
    </row>
    <row r="10" spans="1:14" x14ac:dyDescent="0.25">
      <c r="A10" t="s">
        <v>29</v>
      </c>
      <c r="B10" t="s">
        <v>40</v>
      </c>
      <c r="C10" t="s">
        <v>41</v>
      </c>
      <c r="D10" t="s">
        <v>23</v>
      </c>
      <c r="E10" s="2">
        <v>45389</v>
      </c>
      <c r="F10" s="2">
        <v>45416</v>
      </c>
      <c r="G10" s="2">
        <v>45395</v>
      </c>
      <c r="H10" s="3">
        <v>0.1</v>
      </c>
      <c r="I10" s="4">
        <v>16000</v>
      </c>
      <c r="J10" s="4">
        <v>4500</v>
      </c>
      <c r="K10" t="s">
        <v>27</v>
      </c>
      <c r="L10" s="4">
        <f t="shared" si="0"/>
        <v>11500</v>
      </c>
      <c r="M10" t="str">
        <f t="shared" si="1"/>
        <v>Within Budget</v>
      </c>
      <c r="N10">
        <f t="shared" ca="1" si="2"/>
        <v>-21</v>
      </c>
    </row>
    <row r="11" spans="1:14" x14ac:dyDescent="0.25">
      <c r="A11" t="s">
        <v>42</v>
      </c>
      <c r="B11" t="s">
        <v>43</v>
      </c>
      <c r="C11" t="s">
        <v>44</v>
      </c>
      <c r="D11" t="s">
        <v>23</v>
      </c>
      <c r="E11" s="2">
        <v>45469</v>
      </c>
      <c r="F11" s="2">
        <v>45547</v>
      </c>
      <c r="G11" s="2">
        <v>45558</v>
      </c>
      <c r="H11" s="3">
        <v>1</v>
      </c>
      <c r="I11" s="4">
        <v>149000</v>
      </c>
      <c r="J11" s="4">
        <v>198400</v>
      </c>
      <c r="K11" t="s">
        <v>15</v>
      </c>
      <c r="L11" s="4">
        <f t="shared" si="0"/>
        <v>-49400</v>
      </c>
      <c r="M11" t="str">
        <f t="shared" si="1"/>
        <v>Over Budget</v>
      </c>
      <c r="N11">
        <f t="shared" ca="1" si="2"/>
        <v>11</v>
      </c>
    </row>
    <row r="12" spans="1:14" x14ac:dyDescent="0.25">
      <c r="A12" t="s">
        <v>33</v>
      </c>
      <c r="B12" t="s">
        <v>43</v>
      </c>
      <c r="C12" t="s">
        <v>44</v>
      </c>
      <c r="D12" t="s">
        <v>14</v>
      </c>
      <c r="E12" s="2">
        <v>45392</v>
      </c>
      <c r="F12" s="2">
        <v>45424</v>
      </c>
      <c r="G12" s="2">
        <v>45397</v>
      </c>
      <c r="H12" s="3">
        <v>0.25</v>
      </c>
      <c r="I12" s="4">
        <v>49000</v>
      </c>
      <c r="J12" s="4">
        <v>8200</v>
      </c>
      <c r="K12" t="s">
        <v>27</v>
      </c>
      <c r="L12" s="4">
        <f t="shared" si="0"/>
        <v>40800</v>
      </c>
      <c r="M12" t="str">
        <f t="shared" si="1"/>
        <v>Within Budget</v>
      </c>
      <c r="N12">
        <f t="shared" ca="1" si="2"/>
        <v>-27</v>
      </c>
    </row>
    <row r="13" spans="1:14" x14ac:dyDescent="0.25">
      <c r="A13" t="s">
        <v>45</v>
      </c>
      <c r="B13" t="s">
        <v>46</v>
      </c>
      <c r="C13" t="s">
        <v>47</v>
      </c>
      <c r="D13" t="s">
        <v>14</v>
      </c>
      <c r="E13" s="2">
        <v>45827</v>
      </c>
      <c r="F13" s="2">
        <v>45838</v>
      </c>
      <c r="G13" s="2"/>
      <c r="H13" s="3">
        <v>0</v>
      </c>
      <c r="I13" s="4">
        <v>32000</v>
      </c>
      <c r="J13" s="4">
        <v>0</v>
      </c>
      <c r="K13" t="s">
        <v>48</v>
      </c>
      <c r="L13" s="4">
        <f t="shared" si="0"/>
        <v>32000</v>
      </c>
      <c r="M13" t="str">
        <f t="shared" si="1"/>
        <v>Within Budget</v>
      </c>
      <c r="N13">
        <f t="shared" ca="1" si="2"/>
        <v>448</v>
      </c>
    </row>
    <row r="14" spans="1:14" x14ac:dyDescent="0.25">
      <c r="A14" t="s">
        <v>20</v>
      </c>
      <c r="B14" t="s">
        <v>49</v>
      </c>
      <c r="C14" t="s">
        <v>39</v>
      </c>
      <c r="D14" t="s">
        <v>14</v>
      </c>
      <c r="E14" s="2">
        <v>45664</v>
      </c>
      <c r="F14" s="2">
        <v>45682</v>
      </c>
      <c r="G14" s="2">
        <v>45695</v>
      </c>
      <c r="H14" s="3">
        <v>1</v>
      </c>
      <c r="I14" s="4">
        <v>34000</v>
      </c>
      <c r="J14" s="4">
        <v>33300</v>
      </c>
      <c r="K14" t="s">
        <v>15</v>
      </c>
      <c r="L14" s="4">
        <f t="shared" si="0"/>
        <v>700</v>
      </c>
      <c r="M14" t="str">
        <f t="shared" si="1"/>
        <v>Within Budget</v>
      </c>
      <c r="N14">
        <f t="shared" ca="1" si="2"/>
        <v>13</v>
      </c>
    </row>
    <row r="15" spans="1:14" x14ac:dyDescent="0.25">
      <c r="A15" t="s">
        <v>50</v>
      </c>
      <c r="B15" t="s">
        <v>51</v>
      </c>
      <c r="C15" t="s">
        <v>52</v>
      </c>
      <c r="D15" t="s">
        <v>14</v>
      </c>
      <c r="E15" s="2">
        <v>45412</v>
      </c>
      <c r="F15" s="2">
        <v>45423</v>
      </c>
      <c r="G15" s="2">
        <v>45413</v>
      </c>
      <c r="H15" s="3">
        <v>0.1</v>
      </c>
      <c r="I15" s="4">
        <v>22000</v>
      </c>
      <c r="J15" s="4">
        <v>1400</v>
      </c>
      <c r="K15" t="s">
        <v>27</v>
      </c>
      <c r="L15" s="4">
        <f t="shared" si="0"/>
        <v>20600</v>
      </c>
      <c r="M15" t="str">
        <f t="shared" si="1"/>
        <v>Within Budget</v>
      </c>
      <c r="N15">
        <f t="shared" ca="1" si="2"/>
        <v>-10</v>
      </c>
    </row>
    <row r="16" spans="1:14" x14ac:dyDescent="0.25">
      <c r="A16" t="s">
        <v>53</v>
      </c>
      <c r="B16" t="s">
        <v>43</v>
      </c>
      <c r="C16" t="s">
        <v>54</v>
      </c>
      <c r="D16" t="s">
        <v>14</v>
      </c>
      <c r="E16" s="2">
        <v>45678</v>
      </c>
      <c r="F16" s="2">
        <v>45763</v>
      </c>
      <c r="G16" s="2"/>
      <c r="H16" s="3">
        <v>0.48</v>
      </c>
      <c r="I16" s="4">
        <v>81000</v>
      </c>
      <c r="J16" s="4">
        <v>96700</v>
      </c>
      <c r="K16" t="s">
        <v>19</v>
      </c>
      <c r="L16" s="4">
        <f t="shared" si="0"/>
        <v>-15700</v>
      </c>
      <c r="M16" t="str">
        <f t="shared" si="1"/>
        <v>Over Budget</v>
      </c>
      <c r="N16">
        <f t="shared" ca="1" si="2"/>
        <v>523</v>
      </c>
    </row>
    <row r="17" spans="1:14" x14ac:dyDescent="0.25">
      <c r="A17" t="s">
        <v>55</v>
      </c>
      <c r="B17" t="s">
        <v>56</v>
      </c>
      <c r="C17" t="s">
        <v>31</v>
      </c>
      <c r="D17" t="s">
        <v>14</v>
      </c>
      <c r="E17" s="2">
        <v>45372</v>
      </c>
      <c r="F17" s="2">
        <v>45396</v>
      </c>
      <c r="G17" s="2">
        <v>45377</v>
      </c>
      <c r="H17" s="3">
        <v>0.1</v>
      </c>
      <c r="I17" s="4">
        <v>32000</v>
      </c>
      <c r="J17" s="4">
        <v>12600</v>
      </c>
      <c r="K17" t="s">
        <v>27</v>
      </c>
      <c r="L17" s="4">
        <f t="shared" si="0"/>
        <v>19400</v>
      </c>
      <c r="M17" t="str">
        <f t="shared" si="1"/>
        <v>Within Budget</v>
      </c>
      <c r="N17">
        <f t="shared" ca="1" si="2"/>
        <v>-19</v>
      </c>
    </row>
    <row r="18" spans="1:14" x14ac:dyDescent="0.25">
      <c r="A18" t="s">
        <v>29</v>
      </c>
      <c r="B18" t="s">
        <v>56</v>
      </c>
      <c r="C18" t="s">
        <v>13</v>
      </c>
      <c r="D18" t="s">
        <v>14</v>
      </c>
      <c r="E18" s="2">
        <v>45321</v>
      </c>
      <c r="F18" s="2">
        <v>45330</v>
      </c>
      <c r="G18" s="2">
        <v>45375</v>
      </c>
      <c r="H18" s="3">
        <v>1</v>
      </c>
      <c r="I18" s="4">
        <v>10000</v>
      </c>
      <c r="J18" s="4">
        <v>13100</v>
      </c>
      <c r="K18" t="s">
        <v>15</v>
      </c>
      <c r="L18" s="4">
        <f t="shared" si="0"/>
        <v>-3100</v>
      </c>
      <c r="M18" t="str">
        <f t="shared" si="1"/>
        <v>Over Budget</v>
      </c>
      <c r="N18">
        <f t="shared" ca="1" si="2"/>
        <v>45</v>
      </c>
    </row>
    <row r="19" spans="1:14" x14ac:dyDescent="0.25">
      <c r="A19" t="s">
        <v>57</v>
      </c>
      <c r="B19" t="s">
        <v>25</v>
      </c>
      <c r="C19" t="s">
        <v>52</v>
      </c>
      <c r="D19" t="s">
        <v>14</v>
      </c>
      <c r="E19" s="2">
        <v>45768</v>
      </c>
      <c r="F19" s="2">
        <v>45794</v>
      </c>
      <c r="G19" s="2"/>
      <c r="H19" s="3">
        <v>0</v>
      </c>
      <c r="I19" s="4">
        <v>48000</v>
      </c>
      <c r="J19" s="4">
        <v>0</v>
      </c>
      <c r="K19" t="s">
        <v>48</v>
      </c>
      <c r="L19" s="4">
        <f t="shared" si="0"/>
        <v>48000</v>
      </c>
      <c r="M19" t="str">
        <f t="shared" si="1"/>
        <v>Within Budget</v>
      </c>
      <c r="N19">
        <f t="shared" ca="1" si="2"/>
        <v>492</v>
      </c>
    </row>
    <row r="20" spans="1:14" x14ac:dyDescent="0.25">
      <c r="A20" t="s">
        <v>11</v>
      </c>
      <c r="B20" t="s">
        <v>58</v>
      </c>
      <c r="C20" t="s">
        <v>13</v>
      </c>
      <c r="D20" t="s">
        <v>36</v>
      </c>
      <c r="E20" s="2">
        <v>45490</v>
      </c>
      <c r="F20" s="2">
        <v>45497</v>
      </c>
      <c r="G20" s="2">
        <v>45501</v>
      </c>
      <c r="H20" s="3">
        <v>1</v>
      </c>
      <c r="I20" s="4">
        <v>11000</v>
      </c>
      <c r="J20" s="4">
        <v>10200</v>
      </c>
      <c r="K20" t="s">
        <v>15</v>
      </c>
      <c r="L20" s="4">
        <f t="shared" si="0"/>
        <v>800</v>
      </c>
      <c r="M20" t="str">
        <f t="shared" si="1"/>
        <v>Within Budget</v>
      </c>
      <c r="N20">
        <f t="shared" ca="1" si="2"/>
        <v>4</v>
      </c>
    </row>
    <row r="21" spans="1:14" x14ac:dyDescent="0.25">
      <c r="A21" t="s">
        <v>20</v>
      </c>
      <c r="B21" t="s">
        <v>59</v>
      </c>
      <c r="C21" t="s">
        <v>60</v>
      </c>
      <c r="D21" t="s">
        <v>36</v>
      </c>
      <c r="E21" s="2">
        <v>45531</v>
      </c>
      <c r="F21" s="2">
        <v>45563</v>
      </c>
      <c r="G21" s="2">
        <v>45544</v>
      </c>
      <c r="H21" s="3">
        <v>0.25</v>
      </c>
      <c r="I21" s="4">
        <v>43000</v>
      </c>
      <c r="J21" s="4">
        <v>12200</v>
      </c>
      <c r="K21" t="s">
        <v>27</v>
      </c>
      <c r="L21" s="4">
        <f t="shared" si="0"/>
        <v>30800</v>
      </c>
      <c r="M21" t="str">
        <f t="shared" si="1"/>
        <v>Within Budget</v>
      </c>
      <c r="N21">
        <f t="shared" ca="1" si="2"/>
        <v>-19</v>
      </c>
    </row>
    <row r="22" spans="1:14" x14ac:dyDescent="0.25">
      <c r="A22" t="s">
        <v>55</v>
      </c>
      <c r="B22" t="s">
        <v>12</v>
      </c>
      <c r="C22" t="s">
        <v>61</v>
      </c>
      <c r="D22" t="s">
        <v>14</v>
      </c>
      <c r="E22" s="2">
        <v>45522</v>
      </c>
      <c r="F22" s="2">
        <v>45538</v>
      </c>
      <c r="G22" s="2">
        <v>45548</v>
      </c>
      <c r="H22" s="3">
        <v>1</v>
      </c>
      <c r="I22" s="4">
        <v>36000</v>
      </c>
      <c r="J22" s="4">
        <v>39300</v>
      </c>
      <c r="K22" t="s">
        <v>15</v>
      </c>
      <c r="L22" s="4">
        <f t="shared" si="0"/>
        <v>-3300</v>
      </c>
      <c r="M22" t="str">
        <f t="shared" si="1"/>
        <v>Over Budget</v>
      </c>
      <c r="N22">
        <f t="shared" ca="1" si="2"/>
        <v>10</v>
      </c>
    </row>
    <row r="23" spans="1:14" x14ac:dyDescent="0.25">
      <c r="A23" t="s">
        <v>62</v>
      </c>
      <c r="B23" t="s">
        <v>63</v>
      </c>
      <c r="C23" t="s">
        <v>41</v>
      </c>
      <c r="D23" t="s">
        <v>23</v>
      </c>
      <c r="E23" s="2">
        <v>45330</v>
      </c>
      <c r="F23" s="2">
        <v>45344</v>
      </c>
      <c r="G23" s="2">
        <v>45345</v>
      </c>
      <c r="H23" s="3">
        <v>1</v>
      </c>
      <c r="I23" s="4">
        <v>19000</v>
      </c>
      <c r="J23" s="4">
        <v>23500</v>
      </c>
      <c r="K23" t="s">
        <v>15</v>
      </c>
      <c r="L23" s="4">
        <f t="shared" si="0"/>
        <v>-4500</v>
      </c>
      <c r="M23" t="str">
        <f t="shared" si="1"/>
        <v>Over Budget</v>
      </c>
      <c r="N23">
        <f t="shared" ca="1" si="2"/>
        <v>1</v>
      </c>
    </row>
    <row r="24" spans="1:14" x14ac:dyDescent="0.25">
      <c r="A24" t="s">
        <v>24</v>
      </c>
      <c r="B24" t="s">
        <v>64</v>
      </c>
      <c r="C24" t="s">
        <v>47</v>
      </c>
      <c r="D24" t="s">
        <v>23</v>
      </c>
      <c r="E24" s="2">
        <v>45650</v>
      </c>
      <c r="F24" s="2">
        <v>45680</v>
      </c>
      <c r="G24" s="2"/>
      <c r="H24" s="3">
        <v>0.79</v>
      </c>
      <c r="I24" s="4">
        <v>31000</v>
      </c>
      <c r="J24" s="4">
        <v>21300</v>
      </c>
      <c r="K24" t="s">
        <v>65</v>
      </c>
      <c r="L24" s="4">
        <f t="shared" si="0"/>
        <v>9700</v>
      </c>
      <c r="M24" t="str">
        <f t="shared" si="1"/>
        <v>Within Budget</v>
      </c>
      <c r="N24">
        <f t="shared" ca="1" si="2"/>
        <v>606</v>
      </c>
    </row>
    <row r="25" spans="1:14" x14ac:dyDescent="0.25">
      <c r="A25" t="s">
        <v>66</v>
      </c>
      <c r="B25" t="s">
        <v>64</v>
      </c>
      <c r="C25" t="s">
        <v>60</v>
      </c>
      <c r="D25" t="s">
        <v>36</v>
      </c>
      <c r="E25" s="2">
        <v>45656</v>
      </c>
      <c r="F25" s="2">
        <v>45682</v>
      </c>
      <c r="G25" s="2"/>
      <c r="H25" s="3">
        <v>0.93</v>
      </c>
      <c r="I25" s="4">
        <v>10000</v>
      </c>
      <c r="J25" s="4">
        <v>8900</v>
      </c>
      <c r="K25" t="s">
        <v>65</v>
      </c>
      <c r="L25" s="4">
        <f t="shared" si="0"/>
        <v>1100</v>
      </c>
      <c r="M25" t="str">
        <f t="shared" si="1"/>
        <v>Within Budget</v>
      </c>
      <c r="N25">
        <f t="shared" ca="1" si="2"/>
        <v>604</v>
      </c>
    </row>
    <row r="26" spans="1:14" x14ac:dyDescent="0.25">
      <c r="A26" t="s">
        <v>42</v>
      </c>
      <c r="B26" t="s">
        <v>51</v>
      </c>
      <c r="C26" t="s">
        <v>67</v>
      </c>
      <c r="D26" t="s">
        <v>14</v>
      </c>
      <c r="E26" s="2">
        <v>45403</v>
      </c>
      <c r="F26" s="2">
        <v>45437</v>
      </c>
      <c r="G26" s="2"/>
      <c r="H26" s="3">
        <v>0.37</v>
      </c>
      <c r="I26" s="4">
        <v>66000</v>
      </c>
      <c r="J26" s="4">
        <v>78400</v>
      </c>
      <c r="K26" t="s">
        <v>19</v>
      </c>
      <c r="L26" s="4">
        <f t="shared" si="0"/>
        <v>-12400</v>
      </c>
      <c r="M26" t="str">
        <f t="shared" si="1"/>
        <v>Over Budget</v>
      </c>
      <c r="N26">
        <f t="shared" ca="1" si="2"/>
        <v>849</v>
      </c>
    </row>
    <row r="27" spans="1:14" x14ac:dyDescent="0.25">
      <c r="A27" t="s">
        <v>68</v>
      </c>
      <c r="B27" t="s">
        <v>69</v>
      </c>
      <c r="C27" t="s">
        <v>35</v>
      </c>
      <c r="D27" t="s">
        <v>23</v>
      </c>
      <c r="E27" s="2">
        <v>45461</v>
      </c>
      <c r="F27" s="2">
        <v>45482</v>
      </c>
      <c r="G27" s="2">
        <v>45468</v>
      </c>
      <c r="H27" s="3">
        <v>0.2</v>
      </c>
      <c r="I27" s="4">
        <v>32000</v>
      </c>
      <c r="J27" s="4">
        <v>7700</v>
      </c>
      <c r="K27" t="s">
        <v>27</v>
      </c>
      <c r="L27" s="4">
        <f t="shared" si="0"/>
        <v>24300</v>
      </c>
      <c r="M27" t="str">
        <f t="shared" si="1"/>
        <v>Within Budget</v>
      </c>
      <c r="N27">
        <f t="shared" ca="1" si="2"/>
        <v>-14</v>
      </c>
    </row>
    <row r="28" spans="1:14" x14ac:dyDescent="0.25">
      <c r="A28" t="s">
        <v>37</v>
      </c>
      <c r="B28" t="s">
        <v>70</v>
      </c>
      <c r="C28" t="s">
        <v>71</v>
      </c>
      <c r="D28" t="s">
        <v>36</v>
      </c>
      <c r="E28" s="2">
        <v>45634</v>
      </c>
      <c r="F28" s="2">
        <v>45646</v>
      </c>
      <c r="G28" s="2"/>
      <c r="H28" s="3">
        <v>0.45</v>
      </c>
      <c r="I28" s="4">
        <v>45000</v>
      </c>
      <c r="J28" s="4">
        <v>33900</v>
      </c>
      <c r="K28" t="s">
        <v>19</v>
      </c>
      <c r="L28" s="4">
        <f t="shared" si="0"/>
        <v>11100</v>
      </c>
      <c r="M28" t="str">
        <f t="shared" si="1"/>
        <v>Within Budget</v>
      </c>
      <c r="N28">
        <f t="shared" ca="1" si="2"/>
        <v>640</v>
      </c>
    </row>
    <row r="29" spans="1:14" x14ac:dyDescent="0.25">
      <c r="A29" t="s">
        <v>72</v>
      </c>
      <c r="B29" t="s">
        <v>73</v>
      </c>
      <c r="C29" t="s">
        <v>52</v>
      </c>
      <c r="D29" t="s">
        <v>14</v>
      </c>
      <c r="E29" s="2">
        <v>45745</v>
      </c>
      <c r="F29" s="2">
        <v>45812</v>
      </c>
      <c r="G29" s="2"/>
      <c r="H29" s="3">
        <v>0.69</v>
      </c>
      <c r="I29" s="4">
        <v>81000</v>
      </c>
      <c r="J29" s="4">
        <v>51100</v>
      </c>
      <c r="K29" t="s">
        <v>65</v>
      </c>
      <c r="L29" s="4">
        <f t="shared" si="0"/>
        <v>29900</v>
      </c>
      <c r="M29" t="str">
        <f t="shared" si="1"/>
        <v>Within Budget</v>
      </c>
      <c r="N29">
        <f t="shared" ca="1" si="2"/>
        <v>474</v>
      </c>
    </row>
    <row r="30" spans="1:14" x14ac:dyDescent="0.25">
      <c r="A30" t="s">
        <v>68</v>
      </c>
      <c r="B30" t="s">
        <v>74</v>
      </c>
      <c r="C30" t="s">
        <v>26</v>
      </c>
      <c r="D30" t="s">
        <v>14</v>
      </c>
      <c r="E30" s="2">
        <v>45710</v>
      </c>
      <c r="F30" s="2">
        <v>45738</v>
      </c>
      <c r="G30" s="2"/>
      <c r="H30" s="3">
        <v>0.32</v>
      </c>
      <c r="I30" s="4">
        <v>44000</v>
      </c>
      <c r="J30" s="4">
        <v>53800</v>
      </c>
      <c r="K30" t="s">
        <v>19</v>
      </c>
      <c r="L30" s="4">
        <f t="shared" si="0"/>
        <v>-9800</v>
      </c>
      <c r="M30" t="str">
        <f t="shared" si="1"/>
        <v>Over Budget</v>
      </c>
      <c r="N30">
        <f t="shared" ca="1" si="2"/>
        <v>548</v>
      </c>
    </row>
    <row r="31" spans="1:14" x14ac:dyDescent="0.25">
      <c r="A31" t="s">
        <v>24</v>
      </c>
      <c r="B31" t="s">
        <v>75</v>
      </c>
      <c r="C31" t="s">
        <v>60</v>
      </c>
      <c r="D31" t="s">
        <v>14</v>
      </c>
      <c r="E31" s="2">
        <v>45776</v>
      </c>
      <c r="F31" s="2">
        <v>45802</v>
      </c>
      <c r="G31" s="2"/>
      <c r="H31" s="3">
        <v>0</v>
      </c>
      <c r="I31" s="4">
        <v>28000</v>
      </c>
      <c r="J31" s="4">
        <v>0</v>
      </c>
      <c r="K31" t="s">
        <v>48</v>
      </c>
      <c r="L31" s="4">
        <f t="shared" si="0"/>
        <v>28000</v>
      </c>
      <c r="M31" t="str">
        <f t="shared" si="1"/>
        <v>Within Budget</v>
      </c>
      <c r="N31">
        <f t="shared" ca="1" si="2"/>
        <v>484</v>
      </c>
    </row>
    <row r="32" spans="1:14" x14ac:dyDescent="0.25">
      <c r="A32" t="s">
        <v>11</v>
      </c>
      <c r="B32" t="s">
        <v>76</v>
      </c>
      <c r="C32" t="s">
        <v>54</v>
      </c>
      <c r="D32" t="s">
        <v>32</v>
      </c>
      <c r="E32" s="2">
        <v>45383</v>
      </c>
      <c r="F32" s="2">
        <v>45392</v>
      </c>
      <c r="G32" s="2">
        <v>45385</v>
      </c>
      <c r="H32" s="3">
        <v>1</v>
      </c>
      <c r="I32" s="4">
        <v>2000</v>
      </c>
      <c r="J32" s="4">
        <v>2000</v>
      </c>
      <c r="K32" t="s">
        <v>15</v>
      </c>
      <c r="L32" s="4">
        <f t="shared" si="0"/>
        <v>0</v>
      </c>
      <c r="M32" t="str">
        <f t="shared" si="1"/>
        <v>Within Budget</v>
      </c>
      <c r="N32">
        <f t="shared" ca="1" si="2"/>
        <v>-7</v>
      </c>
    </row>
    <row r="33" spans="1:14" x14ac:dyDescent="0.25">
      <c r="A33" t="s">
        <v>77</v>
      </c>
      <c r="B33" t="s">
        <v>78</v>
      </c>
      <c r="C33" t="s">
        <v>13</v>
      </c>
      <c r="D33" t="s">
        <v>14</v>
      </c>
      <c r="E33" s="2">
        <v>45784</v>
      </c>
      <c r="F33" s="2">
        <v>45816</v>
      </c>
      <c r="G33" s="2"/>
      <c r="H33" s="3">
        <v>0</v>
      </c>
      <c r="I33" s="4">
        <v>37000</v>
      </c>
      <c r="J33" s="4">
        <v>0</v>
      </c>
      <c r="K33" t="s">
        <v>48</v>
      </c>
      <c r="L33" s="4">
        <f t="shared" si="0"/>
        <v>37000</v>
      </c>
      <c r="M33" t="str">
        <f t="shared" si="1"/>
        <v>Within Budget</v>
      </c>
      <c r="N33">
        <f t="shared" ca="1" si="2"/>
        <v>470</v>
      </c>
    </row>
    <row r="34" spans="1:14" x14ac:dyDescent="0.25">
      <c r="A34" t="s">
        <v>11</v>
      </c>
      <c r="B34" t="s">
        <v>46</v>
      </c>
      <c r="C34" t="s">
        <v>54</v>
      </c>
      <c r="D34" t="s">
        <v>36</v>
      </c>
      <c r="E34" s="2">
        <v>45433</v>
      </c>
      <c r="F34" s="2">
        <v>45460</v>
      </c>
      <c r="G34" s="2">
        <v>45467</v>
      </c>
      <c r="H34" s="3">
        <v>1</v>
      </c>
      <c r="I34" s="4">
        <v>47000</v>
      </c>
      <c r="J34" s="4">
        <v>43000</v>
      </c>
      <c r="K34" t="s">
        <v>15</v>
      </c>
      <c r="L34" s="4">
        <f t="shared" si="0"/>
        <v>4000</v>
      </c>
      <c r="M34" t="str">
        <f t="shared" si="1"/>
        <v>Within Budget</v>
      </c>
      <c r="N34">
        <f t="shared" ca="1" si="2"/>
        <v>7</v>
      </c>
    </row>
    <row r="35" spans="1:14" x14ac:dyDescent="0.25">
      <c r="A35" t="s">
        <v>79</v>
      </c>
      <c r="B35" t="s">
        <v>80</v>
      </c>
      <c r="C35" t="s">
        <v>52</v>
      </c>
      <c r="D35" t="s">
        <v>36</v>
      </c>
      <c r="E35" s="2">
        <v>45417</v>
      </c>
      <c r="F35" s="2">
        <v>45432</v>
      </c>
      <c r="G35" s="2">
        <v>45447</v>
      </c>
      <c r="H35" s="3">
        <v>1</v>
      </c>
      <c r="I35" s="4">
        <v>42000</v>
      </c>
      <c r="J35" s="4">
        <v>44400</v>
      </c>
      <c r="K35" t="s">
        <v>15</v>
      </c>
      <c r="L35" s="4">
        <f t="shared" si="0"/>
        <v>-2400</v>
      </c>
      <c r="M35" t="str">
        <f t="shared" si="1"/>
        <v>Over Budget</v>
      </c>
      <c r="N35">
        <f t="shared" ca="1" si="2"/>
        <v>15</v>
      </c>
    </row>
    <row r="36" spans="1:14" x14ac:dyDescent="0.25">
      <c r="A36" t="s">
        <v>81</v>
      </c>
      <c r="B36" t="s">
        <v>82</v>
      </c>
      <c r="C36" t="s">
        <v>54</v>
      </c>
      <c r="D36" t="s">
        <v>36</v>
      </c>
      <c r="E36" s="2">
        <v>45337</v>
      </c>
      <c r="F36" s="2">
        <v>45366</v>
      </c>
      <c r="G36" s="2">
        <v>45366</v>
      </c>
      <c r="H36" s="3">
        <v>1</v>
      </c>
      <c r="I36" s="4">
        <v>15000</v>
      </c>
      <c r="J36" s="4">
        <v>17300</v>
      </c>
      <c r="K36" t="s">
        <v>15</v>
      </c>
      <c r="L36" s="4">
        <f t="shared" si="0"/>
        <v>-2300</v>
      </c>
      <c r="M36" t="str">
        <f t="shared" si="1"/>
        <v>Over Budget</v>
      </c>
      <c r="N36">
        <f t="shared" ca="1" si="2"/>
        <v>0</v>
      </c>
    </row>
    <row r="37" spans="1:14" x14ac:dyDescent="0.25">
      <c r="A37" t="s">
        <v>83</v>
      </c>
      <c r="B37" t="s">
        <v>43</v>
      </c>
      <c r="C37" t="s">
        <v>71</v>
      </c>
      <c r="D37" t="s">
        <v>36</v>
      </c>
      <c r="E37" s="2">
        <v>45366</v>
      </c>
      <c r="F37" s="2">
        <v>45436</v>
      </c>
      <c r="G37" s="2">
        <v>45455</v>
      </c>
      <c r="H37" s="3">
        <v>1</v>
      </c>
      <c r="I37" s="4">
        <v>67000</v>
      </c>
      <c r="J37" s="4">
        <v>92200</v>
      </c>
      <c r="K37" t="s">
        <v>15</v>
      </c>
      <c r="L37" s="4">
        <f t="shared" si="0"/>
        <v>-25200</v>
      </c>
      <c r="M37" t="str">
        <f t="shared" si="1"/>
        <v>Over Budget</v>
      </c>
      <c r="N37">
        <f t="shared" ca="1" si="2"/>
        <v>19</v>
      </c>
    </row>
    <row r="38" spans="1:14" x14ac:dyDescent="0.25">
      <c r="A38" t="s">
        <v>53</v>
      </c>
      <c r="B38" t="s">
        <v>51</v>
      </c>
      <c r="C38" t="s">
        <v>60</v>
      </c>
      <c r="D38" t="s">
        <v>36</v>
      </c>
      <c r="E38" s="2">
        <v>45678</v>
      </c>
      <c r="F38" s="2">
        <v>45707</v>
      </c>
      <c r="G38" s="2">
        <v>45715</v>
      </c>
      <c r="H38" s="3">
        <v>1</v>
      </c>
      <c r="I38" s="4">
        <v>17000</v>
      </c>
      <c r="J38" s="4">
        <v>22400</v>
      </c>
      <c r="K38" t="s">
        <v>15</v>
      </c>
      <c r="L38" s="4">
        <f t="shared" si="0"/>
        <v>-5400</v>
      </c>
      <c r="M38" t="str">
        <f t="shared" si="1"/>
        <v>Over Budget</v>
      </c>
      <c r="N38">
        <f t="shared" ca="1" si="2"/>
        <v>8</v>
      </c>
    </row>
    <row r="39" spans="1:14" x14ac:dyDescent="0.25">
      <c r="A39" t="s">
        <v>66</v>
      </c>
      <c r="B39" t="s">
        <v>59</v>
      </c>
      <c r="C39" t="s">
        <v>47</v>
      </c>
      <c r="D39" t="s">
        <v>36</v>
      </c>
      <c r="E39" s="2">
        <v>45548</v>
      </c>
      <c r="F39" s="2">
        <v>45578</v>
      </c>
      <c r="G39" s="2">
        <v>45623</v>
      </c>
      <c r="H39" s="3">
        <v>1</v>
      </c>
      <c r="I39" s="4">
        <v>24000</v>
      </c>
      <c r="J39" s="4">
        <v>23100</v>
      </c>
      <c r="K39" t="s">
        <v>15</v>
      </c>
      <c r="L39" s="4">
        <f t="shared" si="0"/>
        <v>900</v>
      </c>
      <c r="M39" t="str">
        <f t="shared" si="1"/>
        <v>Within Budget</v>
      </c>
      <c r="N39">
        <f t="shared" ca="1" si="2"/>
        <v>45</v>
      </c>
    </row>
    <row r="40" spans="1:14" x14ac:dyDescent="0.25">
      <c r="A40" t="s">
        <v>55</v>
      </c>
      <c r="B40" t="s">
        <v>84</v>
      </c>
      <c r="C40" t="s">
        <v>61</v>
      </c>
      <c r="D40" t="s">
        <v>14</v>
      </c>
      <c r="E40" s="2">
        <v>45429</v>
      </c>
      <c r="F40" s="2">
        <v>45450</v>
      </c>
      <c r="G40" s="2">
        <v>45462</v>
      </c>
      <c r="H40" s="3">
        <v>1</v>
      </c>
      <c r="I40" s="4">
        <v>11000</v>
      </c>
      <c r="J40" s="4">
        <v>13400</v>
      </c>
      <c r="K40" t="s">
        <v>15</v>
      </c>
      <c r="L40" s="4">
        <f t="shared" si="0"/>
        <v>-2400</v>
      </c>
      <c r="M40" t="str">
        <f t="shared" si="1"/>
        <v>Over Budget</v>
      </c>
      <c r="N40">
        <f t="shared" ca="1" si="2"/>
        <v>12</v>
      </c>
    </row>
    <row r="41" spans="1:14" x14ac:dyDescent="0.25">
      <c r="A41" t="s">
        <v>79</v>
      </c>
      <c r="B41" t="s">
        <v>85</v>
      </c>
      <c r="C41" t="s">
        <v>71</v>
      </c>
      <c r="D41" t="s">
        <v>14</v>
      </c>
      <c r="E41" s="2">
        <v>45731</v>
      </c>
      <c r="F41" s="2">
        <v>45739</v>
      </c>
      <c r="G41" s="2"/>
      <c r="H41" s="3">
        <v>0</v>
      </c>
      <c r="I41" s="4">
        <v>9000</v>
      </c>
      <c r="J41" s="4">
        <v>0</v>
      </c>
      <c r="K41" t="s">
        <v>48</v>
      </c>
      <c r="L41" s="4">
        <f t="shared" si="0"/>
        <v>9000</v>
      </c>
      <c r="M41" t="str">
        <f t="shared" si="1"/>
        <v>Within Budget</v>
      </c>
      <c r="N41">
        <f t="shared" ca="1" si="2"/>
        <v>547</v>
      </c>
    </row>
    <row r="42" spans="1:14" x14ac:dyDescent="0.25">
      <c r="A42" t="s">
        <v>29</v>
      </c>
      <c r="B42" t="s">
        <v>17</v>
      </c>
      <c r="C42" t="s">
        <v>61</v>
      </c>
      <c r="D42" t="s">
        <v>14</v>
      </c>
      <c r="E42" s="2">
        <v>45605</v>
      </c>
      <c r="F42" s="2">
        <v>45612</v>
      </c>
      <c r="G42" s="2">
        <v>45608</v>
      </c>
      <c r="H42" s="3">
        <v>0</v>
      </c>
      <c r="I42" s="4">
        <v>4000</v>
      </c>
      <c r="J42" s="4">
        <v>700</v>
      </c>
      <c r="K42" t="s">
        <v>27</v>
      </c>
      <c r="L42" s="4">
        <f t="shared" si="0"/>
        <v>3300</v>
      </c>
      <c r="M42" t="str">
        <f t="shared" si="1"/>
        <v>Within Budget</v>
      </c>
      <c r="N42">
        <f t="shared" ca="1" si="2"/>
        <v>-4</v>
      </c>
    </row>
    <row r="43" spans="1:14" x14ac:dyDescent="0.25">
      <c r="A43" t="s">
        <v>77</v>
      </c>
      <c r="B43" t="s">
        <v>86</v>
      </c>
      <c r="C43" t="s">
        <v>26</v>
      </c>
      <c r="D43" t="s">
        <v>14</v>
      </c>
      <c r="E43" s="2">
        <v>45781</v>
      </c>
      <c r="F43" s="2">
        <v>45801</v>
      </c>
      <c r="G43" s="2"/>
      <c r="H43" s="3">
        <v>0</v>
      </c>
      <c r="I43" s="4">
        <v>33000</v>
      </c>
      <c r="J43" s="4">
        <v>0</v>
      </c>
      <c r="K43" t="s">
        <v>48</v>
      </c>
      <c r="L43" s="4">
        <f t="shared" si="0"/>
        <v>33000</v>
      </c>
      <c r="M43" t="str">
        <f t="shared" si="1"/>
        <v>Within Budget</v>
      </c>
      <c r="N43">
        <f t="shared" ca="1" si="2"/>
        <v>485</v>
      </c>
    </row>
    <row r="44" spans="1:14" x14ac:dyDescent="0.25">
      <c r="A44" t="s">
        <v>29</v>
      </c>
      <c r="B44" t="s">
        <v>12</v>
      </c>
      <c r="C44" t="s">
        <v>61</v>
      </c>
      <c r="D44" t="s">
        <v>23</v>
      </c>
      <c r="E44" s="2">
        <v>45358</v>
      </c>
      <c r="F44" s="2">
        <v>45385</v>
      </c>
      <c r="G44" s="2">
        <v>45406</v>
      </c>
      <c r="H44" s="3">
        <v>1</v>
      </c>
      <c r="I44" s="4">
        <v>12000</v>
      </c>
      <c r="J44" s="4">
        <v>13600</v>
      </c>
      <c r="K44" t="s">
        <v>15</v>
      </c>
      <c r="L44" s="4">
        <f t="shared" si="0"/>
        <v>-1600</v>
      </c>
      <c r="M44" t="str">
        <f t="shared" si="1"/>
        <v>Over Budget</v>
      </c>
      <c r="N44">
        <f t="shared" ca="1" si="2"/>
        <v>21</v>
      </c>
    </row>
    <row r="45" spans="1:14" x14ac:dyDescent="0.25">
      <c r="A45" t="s">
        <v>29</v>
      </c>
      <c r="B45" t="s">
        <v>69</v>
      </c>
      <c r="C45" t="s">
        <v>87</v>
      </c>
      <c r="D45" t="s">
        <v>14</v>
      </c>
      <c r="E45" s="2">
        <v>45753</v>
      </c>
      <c r="F45" s="2">
        <v>45779</v>
      </c>
      <c r="G45" s="2"/>
      <c r="H45" s="3">
        <v>0.94</v>
      </c>
      <c r="I45" s="4">
        <v>49000</v>
      </c>
      <c r="J45" s="4">
        <v>51800</v>
      </c>
      <c r="K45" t="s">
        <v>65</v>
      </c>
      <c r="L45" s="4">
        <f t="shared" si="0"/>
        <v>-2800</v>
      </c>
      <c r="M45" t="str">
        <f t="shared" si="1"/>
        <v>Over Budget</v>
      </c>
      <c r="N45">
        <f t="shared" ca="1" si="2"/>
        <v>507</v>
      </c>
    </row>
    <row r="46" spans="1:14" x14ac:dyDescent="0.25">
      <c r="A46" t="s">
        <v>68</v>
      </c>
      <c r="B46" t="s">
        <v>88</v>
      </c>
      <c r="C46" t="s">
        <v>41</v>
      </c>
      <c r="D46" t="s">
        <v>32</v>
      </c>
      <c r="E46" s="2">
        <v>45830</v>
      </c>
      <c r="F46" s="2">
        <v>45838</v>
      </c>
      <c r="G46" s="2"/>
      <c r="H46" s="3">
        <v>0</v>
      </c>
      <c r="I46" s="4">
        <v>14000</v>
      </c>
      <c r="J46" s="4">
        <v>0</v>
      </c>
      <c r="K46" t="s">
        <v>48</v>
      </c>
      <c r="L46" s="4">
        <f t="shared" si="0"/>
        <v>14000</v>
      </c>
      <c r="M46" t="str">
        <f t="shared" si="1"/>
        <v>Within Budget</v>
      </c>
      <c r="N46">
        <f t="shared" ca="1" si="2"/>
        <v>448</v>
      </c>
    </row>
    <row r="47" spans="1:14" x14ac:dyDescent="0.25">
      <c r="A47" t="s">
        <v>83</v>
      </c>
      <c r="B47" t="s">
        <v>84</v>
      </c>
      <c r="C47" t="s">
        <v>52</v>
      </c>
      <c r="D47" t="s">
        <v>23</v>
      </c>
      <c r="E47" s="2">
        <v>45538</v>
      </c>
      <c r="F47" s="2">
        <v>45571</v>
      </c>
      <c r="G47" s="2">
        <v>45563</v>
      </c>
      <c r="H47" s="3">
        <v>1</v>
      </c>
      <c r="I47" s="4">
        <v>39000</v>
      </c>
      <c r="J47" s="4">
        <v>38300</v>
      </c>
      <c r="K47" t="s">
        <v>15</v>
      </c>
      <c r="L47" s="4">
        <f t="shared" si="0"/>
        <v>700</v>
      </c>
      <c r="M47" t="str">
        <f t="shared" si="1"/>
        <v>Within Budget</v>
      </c>
      <c r="N47">
        <f t="shared" ca="1" si="2"/>
        <v>-8</v>
      </c>
    </row>
    <row r="48" spans="1:14" x14ac:dyDescent="0.25">
      <c r="A48" t="s">
        <v>11</v>
      </c>
      <c r="B48" t="s">
        <v>89</v>
      </c>
      <c r="C48" t="s">
        <v>44</v>
      </c>
      <c r="D48" t="s">
        <v>23</v>
      </c>
      <c r="E48" s="2">
        <v>45514</v>
      </c>
      <c r="F48" s="2">
        <v>45543</v>
      </c>
      <c r="G48" s="2">
        <v>45524</v>
      </c>
      <c r="H48" s="3">
        <v>0</v>
      </c>
      <c r="I48" s="4">
        <v>45000</v>
      </c>
      <c r="J48" s="4">
        <v>6300</v>
      </c>
      <c r="K48" t="s">
        <v>27</v>
      </c>
      <c r="L48" s="4">
        <f t="shared" si="0"/>
        <v>38700</v>
      </c>
      <c r="M48" t="str">
        <f t="shared" si="1"/>
        <v>Within Budget</v>
      </c>
      <c r="N48">
        <f t="shared" ca="1" si="2"/>
        <v>-19</v>
      </c>
    </row>
    <row r="49" spans="1:14" x14ac:dyDescent="0.25">
      <c r="A49" t="s">
        <v>53</v>
      </c>
      <c r="B49" t="s">
        <v>38</v>
      </c>
      <c r="C49" t="s">
        <v>61</v>
      </c>
      <c r="D49" t="s">
        <v>14</v>
      </c>
      <c r="E49" s="2">
        <v>45748</v>
      </c>
      <c r="F49" s="2">
        <v>45773</v>
      </c>
      <c r="G49" s="2"/>
      <c r="H49" s="3">
        <v>0</v>
      </c>
      <c r="I49" s="4">
        <v>29000</v>
      </c>
      <c r="J49" s="4">
        <v>0</v>
      </c>
      <c r="K49" t="s">
        <v>48</v>
      </c>
      <c r="L49" s="4">
        <f t="shared" si="0"/>
        <v>29000</v>
      </c>
      <c r="M49" t="str">
        <f t="shared" si="1"/>
        <v>Within Budget</v>
      </c>
      <c r="N49">
        <f t="shared" ca="1" si="2"/>
        <v>513</v>
      </c>
    </row>
    <row r="50" spans="1:14" x14ac:dyDescent="0.25">
      <c r="A50" t="s">
        <v>55</v>
      </c>
      <c r="B50" t="s">
        <v>70</v>
      </c>
      <c r="C50" t="s">
        <v>22</v>
      </c>
      <c r="D50" t="s">
        <v>14</v>
      </c>
      <c r="E50" s="2">
        <v>45333</v>
      </c>
      <c r="F50" s="2">
        <v>45345</v>
      </c>
      <c r="G50" s="2">
        <v>45337</v>
      </c>
      <c r="H50" s="3">
        <v>0.15</v>
      </c>
      <c r="I50" s="4">
        <v>44000</v>
      </c>
      <c r="J50" s="4">
        <v>8200</v>
      </c>
      <c r="K50" t="s">
        <v>27</v>
      </c>
      <c r="L50" s="4">
        <f t="shared" si="0"/>
        <v>35800</v>
      </c>
      <c r="M50" t="str">
        <f t="shared" si="1"/>
        <v>Within Budget</v>
      </c>
      <c r="N50">
        <f t="shared" ca="1" si="2"/>
        <v>-8</v>
      </c>
    </row>
    <row r="51" spans="1:14" x14ac:dyDescent="0.25">
      <c r="A51" t="s">
        <v>53</v>
      </c>
      <c r="B51" t="s">
        <v>90</v>
      </c>
      <c r="C51" t="s">
        <v>47</v>
      </c>
      <c r="D51" t="s">
        <v>36</v>
      </c>
      <c r="E51" s="2">
        <v>45660</v>
      </c>
      <c r="F51" s="2">
        <v>45696</v>
      </c>
      <c r="G51" s="2"/>
      <c r="H51" s="3">
        <v>0.56999999999999995</v>
      </c>
      <c r="I51" s="4">
        <v>74000</v>
      </c>
      <c r="J51" s="4">
        <v>48900</v>
      </c>
      <c r="K51" t="s">
        <v>65</v>
      </c>
      <c r="L51" s="4">
        <f t="shared" si="0"/>
        <v>25100</v>
      </c>
      <c r="M51" t="str">
        <f t="shared" si="1"/>
        <v>Within Budget</v>
      </c>
      <c r="N51">
        <f t="shared" ca="1" si="2"/>
        <v>590</v>
      </c>
    </row>
    <row r="52" spans="1:14" x14ac:dyDescent="0.25">
      <c r="A52" t="s">
        <v>91</v>
      </c>
      <c r="B52" t="s">
        <v>63</v>
      </c>
      <c r="C52" t="s">
        <v>60</v>
      </c>
      <c r="D52" t="s">
        <v>32</v>
      </c>
      <c r="E52" s="2">
        <v>45785</v>
      </c>
      <c r="F52" s="2">
        <v>45790</v>
      </c>
      <c r="G52" s="2"/>
      <c r="H52" s="3">
        <v>0</v>
      </c>
      <c r="I52" s="4">
        <v>9000</v>
      </c>
      <c r="J52" s="4">
        <v>0</v>
      </c>
      <c r="K52" t="s">
        <v>48</v>
      </c>
      <c r="L52" s="4">
        <f t="shared" si="0"/>
        <v>9000</v>
      </c>
      <c r="M52" t="str">
        <f t="shared" si="1"/>
        <v>Within Budget</v>
      </c>
      <c r="N52">
        <f t="shared" ca="1" si="2"/>
        <v>496</v>
      </c>
    </row>
    <row r="53" spans="1:14" x14ac:dyDescent="0.25">
      <c r="A53" t="s">
        <v>79</v>
      </c>
      <c r="B53" t="s">
        <v>92</v>
      </c>
      <c r="C53" t="s">
        <v>44</v>
      </c>
      <c r="D53" t="s">
        <v>32</v>
      </c>
      <c r="E53" s="2">
        <v>45512</v>
      </c>
      <c r="F53" s="2">
        <v>45542</v>
      </c>
      <c r="G53" s="2">
        <v>45557</v>
      </c>
      <c r="H53" s="3">
        <v>1</v>
      </c>
      <c r="I53" s="4">
        <v>34000</v>
      </c>
      <c r="J53" s="4">
        <v>44800</v>
      </c>
      <c r="K53" t="s">
        <v>15</v>
      </c>
      <c r="L53" s="4">
        <f t="shared" si="0"/>
        <v>-10800</v>
      </c>
      <c r="M53" t="str">
        <f t="shared" si="1"/>
        <v>Over Budget</v>
      </c>
      <c r="N53">
        <f t="shared" ca="1" si="2"/>
        <v>15</v>
      </c>
    </row>
    <row r="54" spans="1:14" x14ac:dyDescent="0.25">
      <c r="A54" t="s">
        <v>53</v>
      </c>
      <c r="B54" t="s">
        <v>73</v>
      </c>
      <c r="C54" t="s">
        <v>35</v>
      </c>
      <c r="D54" t="s">
        <v>14</v>
      </c>
      <c r="E54" s="2">
        <v>45612</v>
      </c>
      <c r="F54" s="2">
        <v>45653</v>
      </c>
      <c r="G54" s="2">
        <v>45697</v>
      </c>
      <c r="H54" s="3">
        <v>1</v>
      </c>
      <c r="I54" s="4">
        <v>60000</v>
      </c>
      <c r="J54" s="4">
        <v>70700</v>
      </c>
      <c r="K54" t="s">
        <v>15</v>
      </c>
      <c r="L54" s="4">
        <f t="shared" si="0"/>
        <v>-10700</v>
      </c>
      <c r="M54" t="str">
        <f t="shared" si="1"/>
        <v>Over Budget</v>
      </c>
      <c r="N54">
        <f t="shared" ca="1" si="2"/>
        <v>44</v>
      </c>
    </row>
    <row r="55" spans="1:14" x14ac:dyDescent="0.25">
      <c r="A55" t="s">
        <v>42</v>
      </c>
      <c r="B55" t="s">
        <v>93</v>
      </c>
      <c r="C55" t="s">
        <v>47</v>
      </c>
      <c r="D55" t="s">
        <v>23</v>
      </c>
      <c r="E55" s="2">
        <v>45668</v>
      </c>
      <c r="F55" s="2">
        <v>45684</v>
      </c>
      <c r="G55" s="2"/>
      <c r="H55" s="3">
        <v>0.41</v>
      </c>
      <c r="I55" s="4">
        <v>47000</v>
      </c>
      <c r="J55" s="4">
        <v>10200</v>
      </c>
      <c r="K55" t="s">
        <v>94</v>
      </c>
      <c r="L55" s="4">
        <f t="shared" si="0"/>
        <v>36800</v>
      </c>
      <c r="M55" t="str">
        <f t="shared" si="1"/>
        <v>Within Budget</v>
      </c>
      <c r="N55">
        <f t="shared" ca="1" si="2"/>
        <v>602</v>
      </c>
    </row>
    <row r="56" spans="1:14" x14ac:dyDescent="0.25">
      <c r="A56" t="s">
        <v>62</v>
      </c>
      <c r="B56" t="s">
        <v>95</v>
      </c>
      <c r="C56" t="s">
        <v>47</v>
      </c>
      <c r="D56" t="s">
        <v>14</v>
      </c>
      <c r="E56" s="2">
        <v>45820</v>
      </c>
      <c r="F56" s="2">
        <v>45827</v>
      </c>
      <c r="G56" s="2"/>
      <c r="H56" s="3">
        <v>0</v>
      </c>
      <c r="I56" s="4">
        <v>10000</v>
      </c>
      <c r="J56" s="4">
        <v>0</v>
      </c>
      <c r="K56" t="s">
        <v>48</v>
      </c>
      <c r="L56" s="4">
        <f t="shared" si="0"/>
        <v>10000</v>
      </c>
      <c r="M56" t="str">
        <f t="shared" si="1"/>
        <v>Within Budget</v>
      </c>
      <c r="N56">
        <f t="shared" ca="1" si="2"/>
        <v>459</v>
      </c>
    </row>
    <row r="57" spans="1:14" x14ac:dyDescent="0.25">
      <c r="A57" t="s">
        <v>37</v>
      </c>
      <c r="B57" t="s">
        <v>96</v>
      </c>
      <c r="C57" t="s">
        <v>47</v>
      </c>
      <c r="D57" t="s">
        <v>36</v>
      </c>
      <c r="E57" s="2">
        <v>45804</v>
      </c>
      <c r="F57" s="2">
        <v>45819</v>
      </c>
      <c r="G57" s="2"/>
      <c r="H57" s="3">
        <v>0</v>
      </c>
      <c r="I57" s="4">
        <v>25000</v>
      </c>
      <c r="J57" s="4">
        <v>0</v>
      </c>
      <c r="K57" t="s">
        <v>48</v>
      </c>
      <c r="L57" s="4">
        <f t="shared" si="0"/>
        <v>25000</v>
      </c>
      <c r="M57" t="str">
        <f t="shared" si="1"/>
        <v>Within Budget</v>
      </c>
      <c r="N57">
        <f t="shared" ca="1" si="2"/>
        <v>467</v>
      </c>
    </row>
    <row r="58" spans="1:14" x14ac:dyDescent="0.25">
      <c r="A58" t="s">
        <v>81</v>
      </c>
      <c r="B58" t="s">
        <v>51</v>
      </c>
      <c r="C58" t="s">
        <v>97</v>
      </c>
      <c r="D58" t="s">
        <v>14</v>
      </c>
      <c r="E58" s="2">
        <v>45463</v>
      </c>
      <c r="F58" s="2">
        <v>45484</v>
      </c>
      <c r="G58" s="2">
        <v>45498</v>
      </c>
      <c r="H58" s="3">
        <v>1</v>
      </c>
      <c r="I58" s="4">
        <v>32000</v>
      </c>
      <c r="J58" s="4">
        <v>42800</v>
      </c>
      <c r="K58" t="s">
        <v>15</v>
      </c>
      <c r="L58" s="4">
        <f t="shared" si="0"/>
        <v>-10800</v>
      </c>
      <c r="M58" t="str">
        <f t="shared" si="1"/>
        <v>Over Budget</v>
      </c>
      <c r="N58">
        <f t="shared" ca="1" si="2"/>
        <v>14</v>
      </c>
    </row>
    <row r="59" spans="1:14" x14ac:dyDescent="0.25">
      <c r="A59" t="s">
        <v>53</v>
      </c>
      <c r="B59" t="s">
        <v>56</v>
      </c>
      <c r="C59" t="s">
        <v>61</v>
      </c>
      <c r="D59" t="s">
        <v>14</v>
      </c>
      <c r="E59" s="2">
        <v>45539</v>
      </c>
      <c r="F59" s="2">
        <v>45563</v>
      </c>
      <c r="G59" s="2">
        <v>45571</v>
      </c>
      <c r="H59" s="3">
        <v>1</v>
      </c>
      <c r="I59" s="4">
        <v>25000</v>
      </c>
      <c r="J59" s="4">
        <v>25700</v>
      </c>
      <c r="K59" t="s">
        <v>15</v>
      </c>
      <c r="L59" s="4">
        <f t="shared" si="0"/>
        <v>-700</v>
      </c>
      <c r="M59" t="str">
        <f t="shared" si="1"/>
        <v>Over Budget</v>
      </c>
      <c r="N59">
        <f t="shared" ca="1" si="2"/>
        <v>8</v>
      </c>
    </row>
    <row r="60" spans="1:14" x14ac:dyDescent="0.25">
      <c r="A60" t="s">
        <v>45</v>
      </c>
      <c r="B60" t="s">
        <v>59</v>
      </c>
      <c r="C60" t="s">
        <v>28</v>
      </c>
      <c r="D60" t="s">
        <v>36</v>
      </c>
      <c r="E60" s="2">
        <v>45316</v>
      </c>
      <c r="F60" s="2">
        <v>45344</v>
      </c>
      <c r="G60" s="2">
        <v>45326</v>
      </c>
      <c r="H60" s="3">
        <v>0</v>
      </c>
      <c r="I60" s="4">
        <v>18000</v>
      </c>
      <c r="J60" s="4">
        <v>2700</v>
      </c>
      <c r="K60" t="s">
        <v>27</v>
      </c>
      <c r="L60" s="4">
        <f t="shared" si="0"/>
        <v>15300</v>
      </c>
      <c r="M60" t="str">
        <f t="shared" si="1"/>
        <v>Within Budget</v>
      </c>
      <c r="N60">
        <f t="shared" ca="1" si="2"/>
        <v>-18</v>
      </c>
    </row>
    <row r="61" spans="1:14" x14ac:dyDescent="0.25">
      <c r="A61" t="s">
        <v>11</v>
      </c>
      <c r="B61" t="s">
        <v>98</v>
      </c>
      <c r="C61" t="s">
        <v>52</v>
      </c>
      <c r="D61" t="s">
        <v>14</v>
      </c>
      <c r="E61" s="2">
        <v>45546</v>
      </c>
      <c r="F61" s="2">
        <v>45576</v>
      </c>
      <c r="G61" s="2">
        <v>45618</v>
      </c>
      <c r="H61" s="3">
        <v>1</v>
      </c>
      <c r="I61" s="4">
        <v>29000</v>
      </c>
      <c r="J61" s="4">
        <v>27400</v>
      </c>
      <c r="K61" t="s">
        <v>15</v>
      </c>
      <c r="L61" s="4">
        <f t="shared" si="0"/>
        <v>1600</v>
      </c>
      <c r="M61" t="str">
        <f t="shared" si="1"/>
        <v>Within Budget</v>
      </c>
      <c r="N61">
        <f t="shared" ca="1" si="2"/>
        <v>42</v>
      </c>
    </row>
    <row r="62" spans="1:14" x14ac:dyDescent="0.25">
      <c r="A62" t="s">
        <v>99</v>
      </c>
      <c r="B62" t="s">
        <v>30</v>
      </c>
      <c r="C62" t="s">
        <v>100</v>
      </c>
      <c r="D62" t="s">
        <v>23</v>
      </c>
      <c r="E62" s="2">
        <v>45512</v>
      </c>
      <c r="F62" s="2">
        <v>45529</v>
      </c>
      <c r="G62" s="2">
        <v>45550</v>
      </c>
      <c r="H62" s="3">
        <v>1</v>
      </c>
      <c r="I62" s="4">
        <v>13000</v>
      </c>
      <c r="J62" s="4">
        <v>14900</v>
      </c>
      <c r="K62" t="s">
        <v>15</v>
      </c>
      <c r="L62" s="4">
        <f t="shared" si="0"/>
        <v>-1900</v>
      </c>
      <c r="M62" t="str">
        <f t="shared" si="1"/>
        <v>Over Budget</v>
      </c>
      <c r="N62">
        <f t="shared" ca="1" si="2"/>
        <v>21</v>
      </c>
    </row>
    <row r="63" spans="1:14" x14ac:dyDescent="0.25">
      <c r="A63" t="s">
        <v>55</v>
      </c>
      <c r="B63" t="s">
        <v>25</v>
      </c>
      <c r="C63" t="s">
        <v>47</v>
      </c>
      <c r="D63" t="s">
        <v>14</v>
      </c>
      <c r="E63" s="2">
        <v>45658</v>
      </c>
      <c r="F63" s="2">
        <v>45680</v>
      </c>
      <c r="G63" s="2"/>
      <c r="H63" s="3">
        <v>0.63</v>
      </c>
      <c r="I63" s="4">
        <v>13000</v>
      </c>
      <c r="J63" s="4">
        <v>2800</v>
      </c>
      <c r="K63" t="s">
        <v>94</v>
      </c>
      <c r="L63" s="4">
        <f t="shared" si="0"/>
        <v>10200</v>
      </c>
      <c r="M63" t="str">
        <f t="shared" si="1"/>
        <v>Within Budget</v>
      </c>
      <c r="N63">
        <f t="shared" ca="1" si="2"/>
        <v>606</v>
      </c>
    </row>
    <row r="64" spans="1:14" x14ac:dyDescent="0.25">
      <c r="A64" t="s">
        <v>33</v>
      </c>
      <c r="B64" t="s">
        <v>49</v>
      </c>
      <c r="C64" t="s">
        <v>18</v>
      </c>
      <c r="D64" t="s">
        <v>14</v>
      </c>
      <c r="E64" s="2">
        <v>45531</v>
      </c>
      <c r="F64" s="2">
        <v>45547</v>
      </c>
      <c r="G64" s="2">
        <v>45547</v>
      </c>
      <c r="H64" s="3">
        <v>1</v>
      </c>
      <c r="I64" s="4">
        <v>34000</v>
      </c>
      <c r="J64" s="4">
        <v>38100</v>
      </c>
      <c r="K64" t="s">
        <v>15</v>
      </c>
      <c r="L64" s="4">
        <f t="shared" si="0"/>
        <v>-4100</v>
      </c>
      <c r="M64" t="str">
        <f t="shared" si="1"/>
        <v>Over Budget</v>
      </c>
      <c r="N64">
        <f t="shared" ca="1" si="2"/>
        <v>0</v>
      </c>
    </row>
    <row r="65" spans="1:14" x14ac:dyDescent="0.25">
      <c r="A65" t="s">
        <v>55</v>
      </c>
      <c r="B65" t="s">
        <v>101</v>
      </c>
      <c r="C65" t="s">
        <v>35</v>
      </c>
      <c r="D65" t="s">
        <v>14</v>
      </c>
      <c r="E65" s="2">
        <v>45832</v>
      </c>
      <c r="F65" s="2">
        <v>45845</v>
      </c>
      <c r="G65" s="2"/>
      <c r="H65" s="3">
        <v>0</v>
      </c>
      <c r="I65" s="4">
        <v>11000</v>
      </c>
      <c r="J65" s="4">
        <v>0</v>
      </c>
      <c r="K65" t="s">
        <v>48</v>
      </c>
      <c r="L65" s="4">
        <f t="shared" si="0"/>
        <v>11000</v>
      </c>
      <c r="M65" t="str">
        <f t="shared" si="1"/>
        <v>Within Budget</v>
      </c>
      <c r="N65">
        <f t="shared" ca="1" si="2"/>
        <v>441</v>
      </c>
    </row>
    <row r="66" spans="1:14" x14ac:dyDescent="0.25">
      <c r="A66" t="s">
        <v>62</v>
      </c>
      <c r="B66" t="s">
        <v>102</v>
      </c>
      <c r="C66" t="s">
        <v>41</v>
      </c>
      <c r="D66" t="s">
        <v>36</v>
      </c>
      <c r="E66" s="2">
        <v>45707</v>
      </c>
      <c r="F66" s="2">
        <v>45717</v>
      </c>
      <c r="G66" s="2"/>
      <c r="H66" s="3">
        <v>0.42</v>
      </c>
      <c r="I66" s="4">
        <v>15000</v>
      </c>
      <c r="J66" s="4">
        <v>6900</v>
      </c>
      <c r="K66" t="s">
        <v>65</v>
      </c>
      <c r="L66" s="4">
        <f t="shared" si="0"/>
        <v>8100</v>
      </c>
      <c r="M66" t="str">
        <f t="shared" si="1"/>
        <v>Within Budget</v>
      </c>
      <c r="N66">
        <f t="shared" ca="1" si="2"/>
        <v>569</v>
      </c>
    </row>
    <row r="67" spans="1:14" x14ac:dyDescent="0.25">
      <c r="A67" t="s">
        <v>103</v>
      </c>
      <c r="B67" t="s">
        <v>98</v>
      </c>
      <c r="C67" t="s">
        <v>100</v>
      </c>
      <c r="D67" t="s">
        <v>36</v>
      </c>
      <c r="E67" s="2">
        <v>45609</v>
      </c>
      <c r="F67" s="2">
        <v>45623</v>
      </c>
      <c r="G67" s="2">
        <v>45621</v>
      </c>
      <c r="H67" s="3">
        <v>1</v>
      </c>
      <c r="I67" s="4">
        <v>40000</v>
      </c>
      <c r="J67" s="4">
        <v>46700</v>
      </c>
      <c r="K67" t="s">
        <v>15</v>
      </c>
      <c r="L67" s="4">
        <f t="shared" ref="L67:L130" si="3">I67-J67</f>
        <v>-6700</v>
      </c>
      <c r="M67" t="str">
        <f t="shared" ref="M67:M130" si="4">IF(L67&lt;0, "Over Budget", "Within Budget")</f>
        <v>Over Budget</v>
      </c>
      <c r="N67">
        <f t="shared" ref="N67:N130" ca="1" si="5">IF(G67="",TODAY()-F67,G67-F67)</f>
        <v>-2</v>
      </c>
    </row>
    <row r="68" spans="1:14" x14ac:dyDescent="0.25">
      <c r="A68" t="s">
        <v>79</v>
      </c>
      <c r="B68" t="s">
        <v>30</v>
      </c>
      <c r="C68" t="s">
        <v>13</v>
      </c>
      <c r="D68" t="s">
        <v>36</v>
      </c>
      <c r="E68" s="2">
        <v>45748</v>
      </c>
      <c r="F68" s="2">
        <v>45761</v>
      </c>
      <c r="G68" s="2"/>
      <c r="H68" s="3">
        <v>0.48</v>
      </c>
      <c r="I68" s="4">
        <v>27000</v>
      </c>
      <c r="J68" s="4">
        <v>10500</v>
      </c>
      <c r="K68" t="s">
        <v>65</v>
      </c>
      <c r="L68" s="4">
        <f t="shared" si="3"/>
        <v>16500</v>
      </c>
      <c r="M68" t="str">
        <f t="shared" si="4"/>
        <v>Within Budget</v>
      </c>
      <c r="N68">
        <f t="shared" ca="1" si="5"/>
        <v>525</v>
      </c>
    </row>
    <row r="69" spans="1:14" x14ac:dyDescent="0.25">
      <c r="A69" t="s">
        <v>104</v>
      </c>
      <c r="B69" t="s">
        <v>102</v>
      </c>
      <c r="C69" t="s">
        <v>105</v>
      </c>
      <c r="D69" t="s">
        <v>14</v>
      </c>
      <c r="E69" s="2">
        <v>45509</v>
      </c>
      <c r="F69" s="2">
        <v>45514</v>
      </c>
      <c r="G69" s="2"/>
      <c r="H69" s="3">
        <v>0.7</v>
      </c>
      <c r="I69" s="4">
        <v>5000</v>
      </c>
      <c r="J69" s="4">
        <v>3000</v>
      </c>
      <c r="K69" t="s">
        <v>19</v>
      </c>
      <c r="L69" s="4">
        <f t="shared" si="3"/>
        <v>2000</v>
      </c>
      <c r="M69" t="str">
        <f t="shared" si="4"/>
        <v>Within Budget</v>
      </c>
      <c r="N69">
        <f t="shared" ca="1" si="5"/>
        <v>772</v>
      </c>
    </row>
    <row r="70" spans="1:14" x14ac:dyDescent="0.25">
      <c r="A70" t="s">
        <v>16</v>
      </c>
      <c r="B70" t="s">
        <v>69</v>
      </c>
      <c r="C70" t="s">
        <v>71</v>
      </c>
      <c r="D70" t="s">
        <v>23</v>
      </c>
      <c r="E70" s="2">
        <v>45753</v>
      </c>
      <c r="F70" s="2">
        <v>45785</v>
      </c>
      <c r="G70" s="2"/>
      <c r="H70" s="3">
        <v>0</v>
      </c>
      <c r="I70" s="4">
        <v>80000</v>
      </c>
      <c r="J70" s="4">
        <v>0</v>
      </c>
      <c r="K70" t="s">
        <v>48</v>
      </c>
      <c r="L70" s="4">
        <f t="shared" si="3"/>
        <v>80000</v>
      </c>
      <c r="M70" t="str">
        <f t="shared" si="4"/>
        <v>Within Budget</v>
      </c>
      <c r="N70">
        <f t="shared" ca="1" si="5"/>
        <v>501</v>
      </c>
    </row>
    <row r="71" spans="1:14" x14ac:dyDescent="0.25">
      <c r="A71" t="s">
        <v>55</v>
      </c>
      <c r="B71" t="s">
        <v>40</v>
      </c>
      <c r="C71" t="s">
        <v>106</v>
      </c>
      <c r="D71" t="s">
        <v>32</v>
      </c>
      <c r="E71" s="2">
        <v>45748</v>
      </c>
      <c r="F71" s="2">
        <v>45781</v>
      </c>
      <c r="G71" s="2"/>
      <c r="H71" s="3">
        <v>0.28999999999999998</v>
      </c>
      <c r="I71" s="4">
        <v>39000</v>
      </c>
      <c r="J71" s="4">
        <v>9100</v>
      </c>
      <c r="K71" t="s">
        <v>65</v>
      </c>
      <c r="L71" s="4">
        <f t="shared" si="3"/>
        <v>29900</v>
      </c>
      <c r="M71" t="str">
        <f t="shared" si="4"/>
        <v>Within Budget</v>
      </c>
      <c r="N71">
        <f t="shared" ca="1" si="5"/>
        <v>505</v>
      </c>
    </row>
    <row r="72" spans="1:14" x14ac:dyDescent="0.25">
      <c r="A72" t="s">
        <v>68</v>
      </c>
      <c r="B72" t="s">
        <v>93</v>
      </c>
      <c r="C72" t="s">
        <v>44</v>
      </c>
      <c r="D72" t="s">
        <v>32</v>
      </c>
      <c r="E72" s="2">
        <v>45636</v>
      </c>
      <c r="F72" s="2">
        <v>45662</v>
      </c>
      <c r="G72" s="2">
        <v>45648</v>
      </c>
      <c r="H72" s="3">
        <v>0</v>
      </c>
      <c r="I72" s="4">
        <v>19000</v>
      </c>
      <c r="J72" s="4">
        <v>4400</v>
      </c>
      <c r="K72" t="s">
        <v>27</v>
      </c>
      <c r="L72" s="4">
        <f t="shared" si="3"/>
        <v>14600</v>
      </c>
      <c r="M72" t="str">
        <f t="shared" si="4"/>
        <v>Within Budget</v>
      </c>
      <c r="N72">
        <f t="shared" ca="1" si="5"/>
        <v>-14</v>
      </c>
    </row>
    <row r="73" spans="1:14" x14ac:dyDescent="0.25">
      <c r="A73" t="s">
        <v>104</v>
      </c>
      <c r="B73" t="s">
        <v>21</v>
      </c>
      <c r="C73" t="s">
        <v>26</v>
      </c>
      <c r="D73" t="s">
        <v>23</v>
      </c>
      <c r="E73" s="2">
        <v>45829</v>
      </c>
      <c r="F73" s="2">
        <v>45852</v>
      </c>
      <c r="G73" s="2"/>
      <c r="H73" s="3">
        <v>0</v>
      </c>
      <c r="I73" s="4">
        <v>11000</v>
      </c>
      <c r="J73" s="4">
        <v>0</v>
      </c>
      <c r="K73" t="s">
        <v>48</v>
      </c>
      <c r="L73" s="4">
        <f t="shared" si="3"/>
        <v>11000</v>
      </c>
      <c r="M73" t="str">
        <f t="shared" si="4"/>
        <v>Within Budget</v>
      </c>
      <c r="N73">
        <f t="shared" ca="1" si="5"/>
        <v>434</v>
      </c>
    </row>
    <row r="74" spans="1:14" x14ac:dyDescent="0.25">
      <c r="A74" t="s">
        <v>107</v>
      </c>
      <c r="B74" t="s">
        <v>80</v>
      </c>
      <c r="C74" t="s">
        <v>97</v>
      </c>
      <c r="D74" t="s">
        <v>36</v>
      </c>
      <c r="E74" s="2">
        <v>45808</v>
      </c>
      <c r="F74" s="2">
        <v>45823</v>
      </c>
      <c r="G74" s="2"/>
      <c r="H74" s="3">
        <v>0.22</v>
      </c>
      <c r="I74" s="4">
        <v>24000</v>
      </c>
      <c r="J74" s="4">
        <v>4800</v>
      </c>
      <c r="K74" t="s">
        <v>65</v>
      </c>
      <c r="L74" s="4">
        <f t="shared" si="3"/>
        <v>19200</v>
      </c>
      <c r="M74" t="str">
        <f t="shared" si="4"/>
        <v>Within Budget</v>
      </c>
      <c r="N74">
        <f t="shared" ca="1" si="5"/>
        <v>463</v>
      </c>
    </row>
    <row r="75" spans="1:14" x14ac:dyDescent="0.25">
      <c r="A75" t="s">
        <v>66</v>
      </c>
      <c r="B75" t="s">
        <v>108</v>
      </c>
      <c r="C75" t="s">
        <v>87</v>
      </c>
      <c r="D75" t="s">
        <v>14</v>
      </c>
      <c r="E75" s="2">
        <v>45649</v>
      </c>
      <c r="F75" s="2">
        <v>45673</v>
      </c>
      <c r="G75" s="2">
        <v>45704</v>
      </c>
      <c r="H75" s="3">
        <v>1</v>
      </c>
      <c r="I75" s="4">
        <v>19000</v>
      </c>
      <c r="J75" s="4">
        <v>20600</v>
      </c>
      <c r="K75" t="s">
        <v>15</v>
      </c>
      <c r="L75" s="4">
        <f t="shared" si="3"/>
        <v>-1600</v>
      </c>
      <c r="M75" t="str">
        <f t="shared" si="4"/>
        <v>Over Budget</v>
      </c>
      <c r="N75">
        <f t="shared" ca="1" si="5"/>
        <v>31</v>
      </c>
    </row>
    <row r="76" spans="1:14" x14ac:dyDescent="0.25">
      <c r="A76" t="s">
        <v>109</v>
      </c>
      <c r="B76" t="s">
        <v>86</v>
      </c>
      <c r="C76" t="s">
        <v>22</v>
      </c>
      <c r="D76" t="s">
        <v>36</v>
      </c>
      <c r="E76" s="2">
        <v>45621</v>
      </c>
      <c r="F76" s="2">
        <v>45645</v>
      </c>
      <c r="G76" s="2">
        <v>45656</v>
      </c>
      <c r="H76" s="3">
        <v>1</v>
      </c>
      <c r="I76" s="4">
        <v>13000</v>
      </c>
      <c r="J76" s="4">
        <v>15500</v>
      </c>
      <c r="K76" t="s">
        <v>15</v>
      </c>
      <c r="L76" s="4">
        <f t="shared" si="3"/>
        <v>-2500</v>
      </c>
      <c r="M76" t="str">
        <f t="shared" si="4"/>
        <v>Over Budget</v>
      </c>
      <c r="N76">
        <f t="shared" ca="1" si="5"/>
        <v>11</v>
      </c>
    </row>
    <row r="77" spans="1:14" x14ac:dyDescent="0.25">
      <c r="A77" t="s">
        <v>99</v>
      </c>
      <c r="B77" t="s">
        <v>110</v>
      </c>
      <c r="C77" t="s">
        <v>13</v>
      </c>
      <c r="D77" t="s">
        <v>23</v>
      </c>
      <c r="E77" s="2">
        <v>45555</v>
      </c>
      <c r="F77" s="2">
        <v>45584</v>
      </c>
      <c r="G77" s="2">
        <v>45609</v>
      </c>
      <c r="H77" s="3">
        <v>1</v>
      </c>
      <c r="I77" s="4">
        <v>47000</v>
      </c>
      <c r="J77" s="4">
        <v>51100</v>
      </c>
      <c r="K77" t="s">
        <v>15</v>
      </c>
      <c r="L77" s="4">
        <f t="shared" si="3"/>
        <v>-4100</v>
      </c>
      <c r="M77" t="str">
        <f t="shared" si="4"/>
        <v>Over Budget</v>
      </c>
      <c r="N77">
        <f t="shared" ca="1" si="5"/>
        <v>25</v>
      </c>
    </row>
    <row r="78" spans="1:14" x14ac:dyDescent="0.25">
      <c r="A78" t="s">
        <v>33</v>
      </c>
      <c r="B78" t="s">
        <v>85</v>
      </c>
      <c r="C78" t="s">
        <v>111</v>
      </c>
      <c r="D78" t="s">
        <v>14</v>
      </c>
      <c r="E78" s="2">
        <v>45761</v>
      </c>
      <c r="F78" s="2">
        <v>45775</v>
      </c>
      <c r="G78" s="2"/>
      <c r="H78" s="3">
        <v>0</v>
      </c>
      <c r="I78" s="4">
        <v>42000</v>
      </c>
      <c r="J78" s="4">
        <v>0</v>
      </c>
      <c r="K78" t="s">
        <v>48</v>
      </c>
      <c r="L78" s="4">
        <f t="shared" si="3"/>
        <v>42000</v>
      </c>
      <c r="M78" t="str">
        <f t="shared" si="4"/>
        <v>Within Budget</v>
      </c>
      <c r="N78">
        <f t="shared" ca="1" si="5"/>
        <v>511</v>
      </c>
    </row>
    <row r="79" spans="1:14" x14ac:dyDescent="0.25">
      <c r="A79" t="s">
        <v>42</v>
      </c>
      <c r="B79" t="s">
        <v>101</v>
      </c>
      <c r="C79" t="s">
        <v>52</v>
      </c>
      <c r="D79" t="s">
        <v>23</v>
      </c>
      <c r="E79" s="2">
        <v>45326</v>
      </c>
      <c r="F79" s="2">
        <v>45360</v>
      </c>
      <c r="G79" s="2">
        <v>45332</v>
      </c>
      <c r="H79" s="3">
        <v>0.15</v>
      </c>
      <c r="I79" s="4">
        <v>49000</v>
      </c>
      <c r="J79" s="4">
        <v>8800</v>
      </c>
      <c r="K79" t="s">
        <v>27</v>
      </c>
      <c r="L79" s="4">
        <f t="shared" si="3"/>
        <v>40200</v>
      </c>
      <c r="M79" t="str">
        <f t="shared" si="4"/>
        <v>Within Budget</v>
      </c>
      <c r="N79">
        <f t="shared" ca="1" si="5"/>
        <v>-28</v>
      </c>
    </row>
    <row r="80" spans="1:14" x14ac:dyDescent="0.25">
      <c r="A80" t="s">
        <v>20</v>
      </c>
      <c r="B80" t="s">
        <v>43</v>
      </c>
      <c r="C80" t="s">
        <v>112</v>
      </c>
      <c r="D80" t="s">
        <v>14</v>
      </c>
      <c r="E80" s="2">
        <v>45377</v>
      </c>
      <c r="F80" s="2">
        <v>45422</v>
      </c>
      <c r="G80" s="2">
        <v>45423</v>
      </c>
      <c r="H80" s="3">
        <v>1</v>
      </c>
      <c r="I80" s="4">
        <v>53000</v>
      </c>
      <c r="J80" s="4">
        <v>63800</v>
      </c>
      <c r="K80" t="s">
        <v>15</v>
      </c>
      <c r="L80" s="4">
        <f t="shared" si="3"/>
        <v>-10800</v>
      </c>
      <c r="M80" t="str">
        <f t="shared" si="4"/>
        <v>Over Budget</v>
      </c>
      <c r="N80">
        <f t="shared" ca="1" si="5"/>
        <v>1</v>
      </c>
    </row>
    <row r="81" spans="1:14" x14ac:dyDescent="0.25">
      <c r="A81" t="s">
        <v>53</v>
      </c>
      <c r="B81" t="s">
        <v>95</v>
      </c>
      <c r="C81" t="s">
        <v>71</v>
      </c>
      <c r="D81" t="s">
        <v>23</v>
      </c>
      <c r="E81" s="2">
        <v>45693</v>
      </c>
      <c r="F81" s="2">
        <v>45719</v>
      </c>
      <c r="G81" s="2"/>
      <c r="H81" s="3">
        <v>0.41</v>
      </c>
      <c r="I81" s="4">
        <v>34000</v>
      </c>
      <c r="J81" s="4">
        <v>16600</v>
      </c>
      <c r="K81" t="s">
        <v>65</v>
      </c>
      <c r="L81" s="4">
        <f t="shared" si="3"/>
        <v>17400</v>
      </c>
      <c r="M81" t="str">
        <f t="shared" si="4"/>
        <v>Within Budget</v>
      </c>
      <c r="N81">
        <f t="shared" ca="1" si="5"/>
        <v>567</v>
      </c>
    </row>
    <row r="82" spans="1:14" x14ac:dyDescent="0.25">
      <c r="A82" t="s">
        <v>20</v>
      </c>
      <c r="B82" t="s">
        <v>73</v>
      </c>
      <c r="C82" t="s">
        <v>39</v>
      </c>
      <c r="D82" t="s">
        <v>36</v>
      </c>
      <c r="E82" s="2">
        <v>45660</v>
      </c>
      <c r="F82" s="2">
        <v>45711</v>
      </c>
      <c r="G82" s="2">
        <v>45756</v>
      </c>
      <c r="H82" s="3">
        <v>1</v>
      </c>
      <c r="I82" s="4">
        <v>94000</v>
      </c>
      <c r="J82" s="4">
        <v>110700</v>
      </c>
      <c r="K82" t="s">
        <v>15</v>
      </c>
      <c r="L82" s="4">
        <f t="shared" si="3"/>
        <v>-16700</v>
      </c>
      <c r="M82" t="str">
        <f t="shared" si="4"/>
        <v>Over Budget</v>
      </c>
      <c r="N82">
        <f t="shared" ca="1" si="5"/>
        <v>45</v>
      </c>
    </row>
    <row r="83" spans="1:14" x14ac:dyDescent="0.25">
      <c r="A83" t="s">
        <v>55</v>
      </c>
      <c r="B83" t="s">
        <v>49</v>
      </c>
      <c r="C83" t="s">
        <v>13</v>
      </c>
      <c r="D83" t="s">
        <v>36</v>
      </c>
      <c r="E83" s="2">
        <v>45325</v>
      </c>
      <c r="F83" s="2">
        <v>45349</v>
      </c>
      <c r="G83" s="2">
        <v>45349</v>
      </c>
      <c r="H83" s="3">
        <v>1</v>
      </c>
      <c r="I83" s="4">
        <v>25000</v>
      </c>
      <c r="J83" s="4">
        <v>34600</v>
      </c>
      <c r="K83" t="s">
        <v>15</v>
      </c>
      <c r="L83" s="4">
        <f t="shared" si="3"/>
        <v>-9600</v>
      </c>
      <c r="M83" t="str">
        <f t="shared" si="4"/>
        <v>Over Budget</v>
      </c>
      <c r="N83">
        <f t="shared" ca="1" si="5"/>
        <v>0</v>
      </c>
    </row>
    <row r="84" spans="1:14" x14ac:dyDescent="0.25">
      <c r="A84" t="s">
        <v>29</v>
      </c>
      <c r="B84" t="s">
        <v>76</v>
      </c>
      <c r="C84" t="s">
        <v>13</v>
      </c>
      <c r="D84" t="s">
        <v>23</v>
      </c>
      <c r="E84" s="2">
        <v>45436</v>
      </c>
      <c r="F84" s="2">
        <v>45466</v>
      </c>
      <c r="G84" s="2">
        <v>45505</v>
      </c>
      <c r="H84" s="3">
        <v>1</v>
      </c>
      <c r="I84" s="4">
        <v>30000</v>
      </c>
      <c r="J84" s="4">
        <v>29700</v>
      </c>
      <c r="K84" t="s">
        <v>15</v>
      </c>
      <c r="L84" s="4">
        <f t="shared" si="3"/>
        <v>300</v>
      </c>
      <c r="M84" t="str">
        <f t="shared" si="4"/>
        <v>Within Budget</v>
      </c>
      <c r="N84">
        <f t="shared" ca="1" si="5"/>
        <v>39</v>
      </c>
    </row>
    <row r="85" spans="1:14" x14ac:dyDescent="0.25">
      <c r="A85" t="s">
        <v>11</v>
      </c>
      <c r="B85" t="s">
        <v>108</v>
      </c>
      <c r="C85" t="s">
        <v>26</v>
      </c>
      <c r="D85" t="s">
        <v>23</v>
      </c>
      <c r="E85" s="2">
        <v>45723</v>
      </c>
      <c r="F85" s="2">
        <v>45748</v>
      </c>
      <c r="G85" s="2"/>
      <c r="H85" s="3">
        <v>0.41</v>
      </c>
      <c r="I85" s="4">
        <v>47000</v>
      </c>
      <c r="J85" s="4">
        <v>14300</v>
      </c>
      <c r="K85" t="s">
        <v>94</v>
      </c>
      <c r="L85" s="4">
        <f t="shared" si="3"/>
        <v>32700</v>
      </c>
      <c r="M85" t="str">
        <f t="shared" si="4"/>
        <v>Within Budget</v>
      </c>
      <c r="N85">
        <f t="shared" ca="1" si="5"/>
        <v>538</v>
      </c>
    </row>
    <row r="86" spans="1:14" x14ac:dyDescent="0.25">
      <c r="A86" t="s">
        <v>68</v>
      </c>
      <c r="B86" t="s">
        <v>88</v>
      </c>
      <c r="C86" t="s">
        <v>111</v>
      </c>
      <c r="D86" t="s">
        <v>23</v>
      </c>
      <c r="E86" s="2">
        <v>45681</v>
      </c>
      <c r="F86" s="2">
        <v>45712</v>
      </c>
      <c r="G86" s="2">
        <v>45747</v>
      </c>
      <c r="H86" s="3">
        <v>1</v>
      </c>
      <c r="I86" s="4">
        <v>59000</v>
      </c>
      <c r="J86" s="4">
        <v>62100</v>
      </c>
      <c r="K86" t="s">
        <v>15</v>
      </c>
      <c r="L86" s="4">
        <f t="shared" si="3"/>
        <v>-3100</v>
      </c>
      <c r="M86" t="str">
        <f t="shared" si="4"/>
        <v>Over Budget</v>
      </c>
      <c r="N86">
        <f t="shared" ca="1" si="5"/>
        <v>35</v>
      </c>
    </row>
    <row r="87" spans="1:14" x14ac:dyDescent="0.25">
      <c r="A87" t="s">
        <v>24</v>
      </c>
      <c r="B87" t="s">
        <v>102</v>
      </c>
      <c r="C87" t="s">
        <v>113</v>
      </c>
      <c r="D87" t="s">
        <v>23</v>
      </c>
      <c r="E87" s="2">
        <v>45812</v>
      </c>
      <c r="F87" s="2">
        <v>45823</v>
      </c>
      <c r="G87" s="2"/>
      <c r="H87" s="3">
        <v>0</v>
      </c>
      <c r="I87" s="4">
        <v>18000</v>
      </c>
      <c r="J87" s="4">
        <v>0</v>
      </c>
      <c r="K87" t="s">
        <v>48</v>
      </c>
      <c r="L87" s="4">
        <f t="shared" si="3"/>
        <v>18000</v>
      </c>
      <c r="M87" t="str">
        <f t="shared" si="4"/>
        <v>Within Budget</v>
      </c>
      <c r="N87">
        <f t="shared" ca="1" si="5"/>
        <v>463</v>
      </c>
    </row>
    <row r="88" spans="1:14" x14ac:dyDescent="0.25">
      <c r="A88" t="s">
        <v>66</v>
      </c>
      <c r="B88" t="s">
        <v>114</v>
      </c>
      <c r="C88" t="s">
        <v>113</v>
      </c>
      <c r="D88" t="s">
        <v>36</v>
      </c>
      <c r="E88" s="2">
        <v>45832</v>
      </c>
      <c r="F88" s="2">
        <v>45858</v>
      </c>
      <c r="G88" s="2"/>
      <c r="H88" s="3">
        <v>0</v>
      </c>
      <c r="I88" s="4">
        <v>22000</v>
      </c>
      <c r="J88" s="4">
        <v>0</v>
      </c>
      <c r="K88" t="s">
        <v>48</v>
      </c>
      <c r="L88" s="4">
        <f t="shared" si="3"/>
        <v>22000</v>
      </c>
      <c r="M88" t="str">
        <f t="shared" si="4"/>
        <v>Within Budget</v>
      </c>
      <c r="N88">
        <f t="shared" ca="1" si="5"/>
        <v>428</v>
      </c>
    </row>
    <row r="89" spans="1:14" x14ac:dyDescent="0.25">
      <c r="A89" t="s">
        <v>81</v>
      </c>
      <c r="B89" t="s">
        <v>46</v>
      </c>
      <c r="C89" t="s">
        <v>31</v>
      </c>
      <c r="D89" t="s">
        <v>23</v>
      </c>
      <c r="E89" s="2">
        <v>45640</v>
      </c>
      <c r="F89" s="2">
        <v>45658</v>
      </c>
      <c r="G89" s="2">
        <v>45646</v>
      </c>
      <c r="H89" s="3">
        <v>0.1</v>
      </c>
      <c r="I89" s="4">
        <v>28000</v>
      </c>
      <c r="J89" s="4">
        <v>7200</v>
      </c>
      <c r="K89" t="s">
        <v>27</v>
      </c>
      <c r="L89" s="4">
        <f t="shared" si="3"/>
        <v>20800</v>
      </c>
      <c r="M89" t="str">
        <f t="shared" si="4"/>
        <v>Within Budget</v>
      </c>
      <c r="N89">
        <f t="shared" ca="1" si="5"/>
        <v>-12</v>
      </c>
    </row>
    <row r="90" spans="1:14" x14ac:dyDescent="0.25">
      <c r="A90" t="s">
        <v>42</v>
      </c>
      <c r="B90" t="s">
        <v>74</v>
      </c>
      <c r="C90" t="s">
        <v>61</v>
      </c>
      <c r="D90" t="s">
        <v>14</v>
      </c>
      <c r="E90" s="2">
        <v>45650</v>
      </c>
      <c r="F90" s="2">
        <v>45663</v>
      </c>
      <c r="G90" s="2">
        <v>45654</v>
      </c>
      <c r="H90" s="3">
        <v>0.25</v>
      </c>
      <c r="I90" s="4">
        <v>15000</v>
      </c>
      <c r="J90" s="4">
        <v>2500</v>
      </c>
      <c r="K90" t="s">
        <v>27</v>
      </c>
      <c r="L90" s="4">
        <f t="shared" si="3"/>
        <v>12500</v>
      </c>
      <c r="M90" t="str">
        <f t="shared" si="4"/>
        <v>Within Budget</v>
      </c>
      <c r="N90">
        <f t="shared" ca="1" si="5"/>
        <v>-9</v>
      </c>
    </row>
    <row r="91" spans="1:14" x14ac:dyDescent="0.25">
      <c r="A91" t="s">
        <v>16</v>
      </c>
      <c r="B91" t="s">
        <v>114</v>
      </c>
      <c r="C91" t="s">
        <v>111</v>
      </c>
      <c r="D91" t="s">
        <v>14</v>
      </c>
      <c r="E91" s="2">
        <v>45701</v>
      </c>
      <c r="F91" s="2">
        <v>45716</v>
      </c>
      <c r="G91" s="2">
        <v>45716</v>
      </c>
      <c r="H91" s="3">
        <v>1</v>
      </c>
      <c r="I91" s="4">
        <v>35000</v>
      </c>
      <c r="J91" s="4">
        <v>40500</v>
      </c>
      <c r="K91" t="s">
        <v>15</v>
      </c>
      <c r="L91" s="4">
        <f t="shared" si="3"/>
        <v>-5500</v>
      </c>
      <c r="M91" t="str">
        <f t="shared" si="4"/>
        <v>Over Budget</v>
      </c>
      <c r="N91">
        <f t="shared" ca="1" si="5"/>
        <v>0</v>
      </c>
    </row>
    <row r="92" spans="1:14" x14ac:dyDescent="0.25">
      <c r="A92" t="s">
        <v>55</v>
      </c>
      <c r="B92" t="s">
        <v>40</v>
      </c>
      <c r="C92" t="s">
        <v>47</v>
      </c>
      <c r="D92" t="s">
        <v>36</v>
      </c>
      <c r="E92" s="2">
        <v>45294</v>
      </c>
      <c r="F92" s="2">
        <v>45324</v>
      </c>
      <c r="G92" s="2">
        <v>45296</v>
      </c>
      <c r="H92" s="3">
        <v>0.2</v>
      </c>
      <c r="I92" s="4">
        <v>21000</v>
      </c>
      <c r="J92" s="4">
        <v>2800</v>
      </c>
      <c r="K92" t="s">
        <v>27</v>
      </c>
      <c r="L92" s="4">
        <f t="shared" si="3"/>
        <v>18200</v>
      </c>
      <c r="M92" t="str">
        <f t="shared" si="4"/>
        <v>Within Budget</v>
      </c>
      <c r="N92">
        <f t="shared" ca="1" si="5"/>
        <v>-28</v>
      </c>
    </row>
    <row r="93" spans="1:14" x14ac:dyDescent="0.25">
      <c r="A93" t="s">
        <v>107</v>
      </c>
      <c r="B93" t="s">
        <v>75</v>
      </c>
      <c r="C93" t="s">
        <v>41</v>
      </c>
      <c r="D93" t="s">
        <v>36</v>
      </c>
      <c r="E93" s="2">
        <v>45630</v>
      </c>
      <c r="F93" s="2">
        <v>45658</v>
      </c>
      <c r="G93" s="2">
        <v>45637</v>
      </c>
      <c r="H93" s="3">
        <v>0.3</v>
      </c>
      <c r="I93" s="4">
        <v>45000</v>
      </c>
      <c r="J93" s="4">
        <v>16600</v>
      </c>
      <c r="K93" t="s">
        <v>27</v>
      </c>
      <c r="L93" s="4">
        <f t="shared" si="3"/>
        <v>28400</v>
      </c>
      <c r="M93" t="str">
        <f t="shared" si="4"/>
        <v>Within Budget</v>
      </c>
      <c r="N93">
        <f t="shared" ca="1" si="5"/>
        <v>-21</v>
      </c>
    </row>
    <row r="94" spans="1:14" x14ac:dyDescent="0.25">
      <c r="A94" t="s">
        <v>77</v>
      </c>
      <c r="B94" t="s">
        <v>56</v>
      </c>
      <c r="C94" t="s">
        <v>105</v>
      </c>
      <c r="D94" t="s">
        <v>36</v>
      </c>
      <c r="E94" s="2">
        <v>45325</v>
      </c>
      <c r="F94" s="2">
        <v>45346</v>
      </c>
      <c r="G94" s="2">
        <v>45385</v>
      </c>
      <c r="H94" s="3">
        <v>1</v>
      </c>
      <c r="I94" s="4">
        <v>19000</v>
      </c>
      <c r="J94" s="4">
        <v>24500</v>
      </c>
      <c r="K94" t="s">
        <v>15</v>
      </c>
      <c r="L94" s="4">
        <f t="shared" si="3"/>
        <v>-5500</v>
      </c>
      <c r="M94" t="str">
        <f t="shared" si="4"/>
        <v>Over Budget</v>
      </c>
      <c r="N94">
        <f t="shared" ca="1" si="5"/>
        <v>39</v>
      </c>
    </row>
    <row r="95" spans="1:14" x14ac:dyDescent="0.25">
      <c r="A95" t="s">
        <v>66</v>
      </c>
      <c r="B95" t="s">
        <v>95</v>
      </c>
      <c r="C95" t="s">
        <v>54</v>
      </c>
      <c r="D95" t="s">
        <v>14</v>
      </c>
      <c r="E95" s="2">
        <v>45833</v>
      </c>
      <c r="F95" s="2">
        <v>45862</v>
      </c>
      <c r="G95" s="2"/>
      <c r="H95" s="3">
        <v>0</v>
      </c>
      <c r="I95" s="4">
        <v>43000</v>
      </c>
      <c r="J95" s="4">
        <v>0</v>
      </c>
      <c r="K95" t="s">
        <v>48</v>
      </c>
      <c r="L95" s="4">
        <f t="shared" si="3"/>
        <v>43000</v>
      </c>
      <c r="M95" t="str">
        <f t="shared" si="4"/>
        <v>Within Budget</v>
      </c>
      <c r="N95">
        <f t="shared" ca="1" si="5"/>
        <v>424</v>
      </c>
    </row>
    <row r="96" spans="1:14" x14ac:dyDescent="0.25">
      <c r="A96" t="s">
        <v>37</v>
      </c>
      <c r="B96" t="s">
        <v>88</v>
      </c>
      <c r="C96" t="s">
        <v>13</v>
      </c>
      <c r="D96" t="s">
        <v>14</v>
      </c>
      <c r="E96" s="2">
        <v>45782</v>
      </c>
      <c r="F96" s="2">
        <v>45799</v>
      </c>
      <c r="G96" s="2"/>
      <c r="H96" s="3">
        <v>0</v>
      </c>
      <c r="I96" s="4">
        <v>11000</v>
      </c>
      <c r="J96" s="4">
        <v>0</v>
      </c>
      <c r="K96" t="s">
        <v>48</v>
      </c>
      <c r="L96" s="4">
        <f t="shared" si="3"/>
        <v>11000</v>
      </c>
      <c r="M96" t="str">
        <f t="shared" si="4"/>
        <v>Within Budget</v>
      </c>
      <c r="N96">
        <f t="shared" ca="1" si="5"/>
        <v>487</v>
      </c>
    </row>
    <row r="97" spans="1:14" x14ac:dyDescent="0.25">
      <c r="A97" t="s">
        <v>104</v>
      </c>
      <c r="B97" t="s">
        <v>43</v>
      </c>
      <c r="C97" t="s">
        <v>100</v>
      </c>
      <c r="D97" t="s">
        <v>36</v>
      </c>
      <c r="E97" s="2">
        <v>45659</v>
      </c>
      <c r="F97" s="2">
        <v>45702</v>
      </c>
      <c r="G97" s="2"/>
      <c r="H97" s="3">
        <v>0.39</v>
      </c>
      <c r="I97" s="4">
        <v>31000</v>
      </c>
      <c r="J97" s="4">
        <v>19100</v>
      </c>
      <c r="K97" t="s">
        <v>19</v>
      </c>
      <c r="L97" s="4">
        <f t="shared" si="3"/>
        <v>11900</v>
      </c>
      <c r="M97" t="str">
        <f t="shared" si="4"/>
        <v>Within Budget</v>
      </c>
      <c r="N97">
        <f t="shared" ca="1" si="5"/>
        <v>584</v>
      </c>
    </row>
    <row r="98" spans="1:14" x14ac:dyDescent="0.25">
      <c r="A98" t="s">
        <v>16</v>
      </c>
      <c r="B98" t="s">
        <v>115</v>
      </c>
      <c r="C98" t="s">
        <v>47</v>
      </c>
      <c r="D98" t="s">
        <v>36</v>
      </c>
      <c r="E98" s="2">
        <v>45471</v>
      </c>
      <c r="F98" s="2">
        <v>45504</v>
      </c>
      <c r="G98" s="2">
        <v>45477</v>
      </c>
      <c r="H98" s="3">
        <v>0.1</v>
      </c>
      <c r="I98" s="4">
        <v>42000</v>
      </c>
      <c r="J98" s="4">
        <v>10600</v>
      </c>
      <c r="K98" t="s">
        <v>27</v>
      </c>
      <c r="L98" s="4">
        <f t="shared" si="3"/>
        <v>31400</v>
      </c>
      <c r="M98" t="str">
        <f t="shared" si="4"/>
        <v>Within Budget</v>
      </c>
      <c r="N98">
        <f t="shared" ca="1" si="5"/>
        <v>-27</v>
      </c>
    </row>
    <row r="99" spans="1:14" x14ac:dyDescent="0.25">
      <c r="A99" t="s">
        <v>72</v>
      </c>
      <c r="B99" t="s">
        <v>76</v>
      </c>
      <c r="C99" t="s">
        <v>67</v>
      </c>
      <c r="D99" t="s">
        <v>23</v>
      </c>
      <c r="E99" s="2">
        <v>45669</v>
      </c>
      <c r="F99" s="2">
        <v>45696</v>
      </c>
      <c r="G99" s="2">
        <v>45696</v>
      </c>
      <c r="H99" s="3">
        <v>1</v>
      </c>
      <c r="I99" s="4">
        <v>33000</v>
      </c>
      <c r="J99" s="4">
        <v>43000</v>
      </c>
      <c r="K99" t="s">
        <v>15</v>
      </c>
      <c r="L99" s="4">
        <f t="shared" si="3"/>
        <v>-10000</v>
      </c>
      <c r="M99" t="str">
        <f t="shared" si="4"/>
        <v>Over Budget</v>
      </c>
      <c r="N99">
        <f t="shared" ca="1" si="5"/>
        <v>0</v>
      </c>
    </row>
    <row r="100" spans="1:14" x14ac:dyDescent="0.25">
      <c r="A100" t="s">
        <v>42</v>
      </c>
      <c r="B100" t="s">
        <v>85</v>
      </c>
      <c r="C100" t="s">
        <v>97</v>
      </c>
      <c r="D100" t="s">
        <v>14</v>
      </c>
      <c r="E100" s="2">
        <v>45392</v>
      </c>
      <c r="F100" s="2">
        <v>45404</v>
      </c>
      <c r="G100" s="2">
        <v>45402</v>
      </c>
      <c r="H100" s="3">
        <v>1</v>
      </c>
      <c r="I100" s="4">
        <v>35000</v>
      </c>
      <c r="J100" s="4">
        <v>37200</v>
      </c>
      <c r="K100" t="s">
        <v>15</v>
      </c>
      <c r="L100" s="4">
        <f t="shared" si="3"/>
        <v>-2200</v>
      </c>
      <c r="M100" t="str">
        <f t="shared" si="4"/>
        <v>Over Budget</v>
      </c>
      <c r="N100">
        <f t="shared" ca="1" si="5"/>
        <v>-2</v>
      </c>
    </row>
    <row r="101" spans="1:14" x14ac:dyDescent="0.25">
      <c r="A101" t="s">
        <v>109</v>
      </c>
      <c r="B101" t="s">
        <v>108</v>
      </c>
      <c r="C101" t="s">
        <v>13</v>
      </c>
      <c r="D101" t="s">
        <v>36</v>
      </c>
      <c r="E101" s="2">
        <v>45334</v>
      </c>
      <c r="F101" s="2">
        <v>45341</v>
      </c>
      <c r="G101" s="2">
        <v>45346</v>
      </c>
      <c r="H101" s="3">
        <v>1</v>
      </c>
      <c r="I101" s="4">
        <v>6000</v>
      </c>
      <c r="J101" s="4">
        <v>6800</v>
      </c>
      <c r="K101" t="s">
        <v>15</v>
      </c>
      <c r="L101" s="4">
        <f t="shared" si="3"/>
        <v>-800</v>
      </c>
      <c r="M101" t="str">
        <f t="shared" si="4"/>
        <v>Over Budget</v>
      </c>
      <c r="N101">
        <f t="shared" ca="1" si="5"/>
        <v>5</v>
      </c>
    </row>
    <row r="102" spans="1:14" x14ac:dyDescent="0.25">
      <c r="A102" t="s">
        <v>81</v>
      </c>
      <c r="B102" t="s">
        <v>78</v>
      </c>
      <c r="C102" t="s">
        <v>18</v>
      </c>
      <c r="D102" t="s">
        <v>14</v>
      </c>
      <c r="E102" s="2">
        <v>45553</v>
      </c>
      <c r="F102" s="2">
        <v>45588</v>
      </c>
      <c r="G102" s="2">
        <v>45578</v>
      </c>
      <c r="H102" s="3">
        <v>1</v>
      </c>
      <c r="I102" s="4">
        <v>40000</v>
      </c>
      <c r="J102" s="4">
        <v>46100</v>
      </c>
      <c r="K102" t="s">
        <v>15</v>
      </c>
      <c r="L102" s="4">
        <f t="shared" si="3"/>
        <v>-6100</v>
      </c>
      <c r="M102" t="str">
        <f t="shared" si="4"/>
        <v>Over Budget</v>
      </c>
      <c r="N102">
        <f t="shared" ca="1" si="5"/>
        <v>-10</v>
      </c>
    </row>
    <row r="103" spans="1:14" x14ac:dyDescent="0.25">
      <c r="A103" t="s">
        <v>37</v>
      </c>
      <c r="B103" t="s">
        <v>58</v>
      </c>
      <c r="C103" t="s">
        <v>106</v>
      </c>
      <c r="D103" t="s">
        <v>36</v>
      </c>
      <c r="E103" s="2">
        <v>45553</v>
      </c>
      <c r="F103" s="2">
        <v>45571</v>
      </c>
      <c r="G103" s="2">
        <v>45578</v>
      </c>
      <c r="H103" s="3">
        <v>1</v>
      </c>
      <c r="I103" s="4">
        <v>15000</v>
      </c>
      <c r="J103" s="4">
        <v>12900</v>
      </c>
      <c r="K103" t="s">
        <v>15</v>
      </c>
      <c r="L103" s="4">
        <f t="shared" si="3"/>
        <v>2100</v>
      </c>
      <c r="M103" t="str">
        <f t="shared" si="4"/>
        <v>Within Budget</v>
      </c>
      <c r="N103">
        <f t="shared" ca="1" si="5"/>
        <v>7</v>
      </c>
    </row>
    <row r="104" spans="1:14" x14ac:dyDescent="0.25">
      <c r="A104" t="s">
        <v>20</v>
      </c>
      <c r="B104" t="s">
        <v>46</v>
      </c>
      <c r="C104" t="s">
        <v>39</v>
      </c>
      <c r="D104" t="s">
        <v>23</v>
      </c>
      <c r="E104" s="2">
        <v>45767</v>
      </c>
      <c r="F104" s="2">
        <v>45792</v>
      </c>
      <c r="G104" s="2"/>
      <c r="H104" s="3">
        <v>0</v>
      </c>
      <c r="I104" s="4">
        <v>35000</v>
      </c>
      <c r="J104" s="4">
        <v>0</v>
      </c>
      <c r="K104" t="s">
        <v>48</v>
      </c>
      <c r="L104" s="4">
        <f t="shared" si="3"/>
        <v>35000</v>
      </c>
      <c r="M104" t="str">
        <f t="shared" si="4"/>
        <v>Within Budget</v>
      </c>
      <c r="N104">
        <f t="shared" ca="1" si="5"/>
        <v>494</v>
      </c>
    </row>
    <row r="105" spans="1:14" x14ac:dyDescent="0.25">
      <c r="A105" t="s">
        <v>81</v>
      </c>
      <c r="B105" t="s">
        <v>85</v>
      </c>
      <c r="C105" t="s">
        <v>22</v>
      </c>
      <c r="D105" t="s">
        <v>14</v>
      </c>
      <c r="E105" s="2">
        <v>45739</v>
      </c>
      <c r="F105" s="2">
        <v>45760</v>
      </c>
      <c r="G105" s="2"/>
      <c r="H105" s="3">
        <v>0</v>
      </c>
      <c r="I105" s="4">
        <v>24000</v>
      </c>
      <c r="J105" s="4">
        <v>0</v>
      </c>
      <c r="K105" t="s">
        <v>48</v>
      </c>
      <c r="L105" s="4">
        <f t="shared" si="3"/>
        <v>24000</v>
      </c>
      <c r="M105" t="str">
        <f t="shared" si="4"/>
        <v>Within Budget</v>
      </c>
      <c r="N105">
        <f t="shared" ca="1" si="5"/>
        <v>526</v>
      </c>
    </row>
    <row r="106" spans="1:14" x14ac:dyDescent="0.25">
      <c r="A106" t="s">
        <v>99</v>
      </c>
      <c r="B106" t="s">
        <v>116</v>
      </c>
      <c r="C106" t="s">
        <v>26</v>
      </c>
      <c r="D106" t="s">
        <v>14</v>
      </c>
      <c r="E106" s="2">
        <v>45415</v>
      </c>
      <c r="F106" s="2">
        <v>45432</v>
      </c>
      <c r="G106" s="2">
        <v>45435</v>
      </c>
      <c r="H106" s="3">
        <v>1</v>
      </c>
      <c r="I106" s="4">
        <v>23000</v>
      </c>
      <c r="J106" s="4">
        <v>22600</v>
      </c>
      <c r="K106" t="s">
        <v>15</v>
      </c>
      <c r="L106" s="4">
        <f t="shared" si="3"/>
        <v>400</v>
      </c>
      <c r="M106" t="str">
        <f t="shared" si="4"/>
        <v>Within Budget</v>
      </c>
      <c r="N106">
        <f t="shared" ca="1" si="5"/>
        <v>3</v>
      </c>
    </row>
    <row r="107" spans="1:14" x14ac:dyDescent="0.25">
      <c r="A107" t="s">
        <v>91</v>
      </c>
      <c r="B107" t="s">
        <v>102</v>
      </c>
      <c r="C107" t="s">
        <v>39</v>
      </c>
      <c r="D107" t="s">
        <v>23</v>
      </c>
      <c r="E107" s="2">
        <v>45651</v>
      </c>
      <c r="F107" s="2">
        <v>45661</v>
      </c>
      <c r="G107" s="2">
        <v>45661</v>
      </c>
      <c r="H107" s="3">
        <v>1</v>
      </c>
      <c r="I107" s="4">
        <v>9000</v>
      </c>
      <c r="J107" s="4">
        <v>9700</v>
      </c>
      <c r="K107" t="s">
        <v>15</v>
      </c>
      <c r="L107" s="4">
        <f t="shared" si="3"/>
        <v>-700</v>
      </c>
      <c r="M107" t="str">
        <f t="shared" si="4"/>
        <v>Over Budget</v>
      </c>
      <c r="N107">
        <f t="shared" ca="1" si="5"/>
        <v>0</v>
      </c>
    </row>
    <row r="108" spans="1:14" x14ac:dyDescent="0.25">
      <c r="A108" t="s">
        <v>91</v>
      </c>
      <c r="B108" t="s">
        <v>116</v>
      </c>
      <c r="C108" t="s">
        <v>54</v>
      </c>
      <c r="D108" t="s">
        <v>23</v>
      </c>
      <c r="E108" s="2">
        <v>45629</v>
      </c>
      <c r="F108" s="2">
        <v>45647</v>
      </c>
      <c r="G108" s="2">
        <v>45687</v>
      </c>
      <c r="H108" s="3">
        <v>1</v>
      </c>
      <c r="I108" s="4">
        <v>36000</v>
      </c>
      <c r="J108" s="4">
        <v>34300</v>
      </c>
      <c r="K108" t="s">
        <v>15</v>
      </c>
      <c r="L108" s="4">
        <f t="shared" si="3"/>
        <v>1700</v>
      </c>
      <c r="M108" t="str">
        <f t="shared" si="4"/>
        <v>Within Budget</v>
      </c>
      <c r="N108">
        <f t="shared" ca="1" si="5"/>
        <v>40</v>
      </c>
    </row>
    <row r="109" spans="1:14" x14ac:dyDescent="0.25">
      <c r="A109" t="s">
        <v>16</v>
      </c>
      <c r="B109" t="s">
        <v>59</v>
      </c>
      <c r="C109" t="s">
        <v>31</v>
      </c>
      <c r="D109" t="s">
        <v>14</v>
      </c>
      <c r="E109" s="2">
        <v>45554</v>
      </c>
      <c r="F109" s="2">
        <v>45585</v>
      </c>
      <c r="G109" s="2">
        <v>45616</v>
      </c>
      <c r="H109" s="3">
        <v>1</v>
      </c>
      <c r="I109" s="4">
        <v>92000</v>
      </c>
      <c r="J109" s="4">
        <v>115300</v>
      </c>
      <c r="K109" t="s">
        <v>15</v>
      </c>
      <c r="L109" s="4">
        <f t="shared" si="3"/>
        <v>-23300</v>
      </c>
      <c r="M109" t="str">
        <f t="shared" si="4"/>
        <v>Over Budget</v>
      </c>
      <c r="N109">
        <f t="shared" ca="1" si="5"/>
        <v>31</v>
      </c>
    </row>
    <row r="110" spans="1:14" x14ac:dyDescent="0.25">
      <c r="A110" t="s">
        <v>45</v>
      </c>
      <c r="B110" t="s">
        <v>117</v>
      </c>
      <c r="C110" t="s">
        <v>31</v>
      </c>
      <c r="D110" t="s">
        <v>36</v>
      </c>
      <c r="E110" s="2">
        <v>45350</v>
      </c>
      <c r="F110" s="2">
        <v>45358</v>
      </c>
      <c r="G110" s="2">
        <v>45350</v>
      </c>
      <c r="H110" s="3">
        <v>1</v>
      </c>
      <c r="I110" s="4">
        <v>15000</v>
      </c>
      <c r="J110" s="4">
        <v>15500</v>
      </c>
      <c r="K110" t="s">
        <v>15</v>
      </c>
      <c r="L110" s="4">
        <f t="shared" si="3"/>
        <v>-500</v>
      </c>
      <c r="M110" t="str">
        <f t="shared" si="4"/>
        <v>Over Budget</v>
      </c>
      <c r="N110">
        <f t="shared" ca="1" si="5"/>
        <v>-8</v>
      </c>
    </row>
    <row r="111" spans="1:14" x14ac:dyDescent="0.25">
      <c r="A111" t="s">
        <v>11</v>
      </c>
      <c r="B111" t="s">
        <v>58</v>
      </c>
      <c r="C111" t="s">
        <v>54</v>
      </c>
      <c r="D111" t="s">
        <v>23</v>
      </c>
      <c r="E111" s="2">
        <v>45688</v>
      </c>
      <c r="F111" s="2">
        <v>45719</v>
      </c>
      <c r="G111" s="2">
        <v>45732</v>
      </c>
      <c r="H111" s="3">
        <v>1</v>
      </c>
      <c r="I111" s="4">
        <v>69000</v>
      </c>
      <c r="J111" s="4">
        <v>81500</v>
      </c>
      <c r="K111" t="s">
        <v>15</v>
      </c>
      <c r="L111" s="4">
        <f t="shared" si="3"/>
        <v>-12500</v>
      </c>
      <c r="M111" t="str">
        <f t="shared" si="4"/>
        <v>Over Budget</v>
      </c>
      <c r="N111">
        <f t="shared" ca="1" si="5"/>
        <v>13</v>
      </c>
    </row>
    <row r="112" spans="1:14" x14ac:dyDescent="0.25">
      <c r="A112" t="s">
        <v>33</v>
      </c>
      <c r="B112" t="s">
        <v>108</v>
      </c>
      <c r="C112" t="s">
        <v>100</v>
      </c>
      <c r="D112" t="s">
        <v>36</v>
      </c>
      <c r="E112" s="2">
        <v>45378</v>
      </c>
      <c r="F112" s="2">
        <v>45386</v>
      </c>
      <c r="G112" s="2">
        <v>45387</v>
      </c>
      <c r="H112" s="3">
        <v>1</v>
      </c>
      <c r="I112" s="4">
        <v>8000</v>
      </c>
      <c r="J112" s="4">
        <v>8800</v>
      </c>
      <c r="K112" t="s">
        <v>15</v>
      </c>
      <c r="L112" s="4">
        <f t="shared" si="3"/>
        <v>-800</v>
      </c>
      <c r="M112" t="str">
        <f t="shared" si="4"/>
        <v>Over Budget</v>
      </c>
      <c r="N112">
        <f t="shared" ca="1" si="5"/>
        <v>1</v>
      </c>
    </row>
    <row r="113" spans="1:14" x14ac:dyDescent="0.25">
      <c r="A113" t="s">
        <v>66</v>
      </c>
      <c r="B113" t="s">
        <v>101</v>
      </c>
      <c r="C113" t="s">
        <v>47</v>
      </c>
      <c r="D113" t="s">
        <v>14</v>
      </c>
      <c r="E113" s="2">
        <v>45548</v>
      </c>
      <c r="F113" s="2">
        <v>45565</v>
      </c>
      <c r="G113" s="2">
        <v>45564</v>
      </c>
      <c r="H113" s="3">
        <v>1</v>
      </c>
      <c r="I113" s="4">
        <v>11000</v>
      </c>
      <c r="J113" s="4">
        <v>10500</v>
      </c>
      <c r="K113" t="s">
        <v>15</v>
      </c>
      <c r="L113" s="4">
        <f t="shared" si="3"/>
        <v>500</v>
      </c>
      <c r="M113" t="str">
        <f t="shared" si="4"/>
        <v>Within Budget</v>
      </c>
      <c r="N113">
        <f t="shared" ca="1" si="5"/>
        <v>-1</v>
      </c>
    </row>
    <row r="114" spans="1:14" x14ac:dyDescent="0.25">
      <c r="A114" t="s">
        <v>77</v>
      </c>
      <c r="B114" t="s">
        <v>76</v>
      </c>
      <c r="C114" t="s">
        <v>105</v>
      </c>
      <c r="D114" t="s">
        <v>36</v>
      </c>
      <c r="E114" s="2">
        <v>45512</v>
      </c>
      <c r="F114" s="2">
        <v>45540</v>
      </c>
      <c r="G114" s="2">
        <v>45531</v>
      </c>
      <c r="H114" s="3">
        <v>1</v>
      </c>
      <c r="I114" s="4">
        <v>14000</v>
      </c>
      <c r="J114" s="4">
        <v>19300</v>
      </c>
      <c r="K114" t="s">
        <v>15</v>
      </c>
      <c r="L114" s="4">
        <f t="shared" si="3"/>
        <v>-5300</v>
      </c>
      <c r="M114" t="str">
        <f t="shared" si="4"/>
        <v>Over Budget</v>
      </c>
      <c r="N114">
        <f t="shared" ca="1" si="5"/>
        <v>-9</v>
      </c>
    </row>
    <row r="115" spans="1:14" x14ac:dyDescent="0.25">
      <c r="A115" t="s">
        <v>53</v>
      </c>
      <c r="B115" t="s">
        <v>70</v>
      </c>
      <c r="C115" t="s">
        <v>61</v>
      </c>
      <c r="D115" t="s">
        <v>14</v>
      </c>
      <c r="E115" s="2">
        <v>45516</v>
      </c>
      <c r="F115" s="2">
        <v>45522</v>
      </c>
      <c r="G115" s="2">
        <v>45517</v>
      </c>
      <c r="H115" s="3">
        <v>0.25</v>
      </c>
      <c r="I115" s="4">
        <v>14000</v>
      </c>
      <c r="J115" s="4">
        <v>5300</v>
      </c>
      <c r="K115" t="s">
        <v>27</v>
      </c>
      <c r="L115" s="4">
        <f t="shared" si="3"/>
        <v>8700</v>
      </c>
      <c r="M115" t="str">
        <f t="shared" si="4"/>
        <v>Within Budget</v>
      </c>
      <c r="N115">
        <f t="shared" ca="1" si="5"/>
        <v>-5</v>
      </c>
    </row>
    <row r="116" spans="1:14" x14ac:dyDescent="0.25">
      <c r="A116" t="s">
        <v>11</v>
      </c>
      <c r="B116" t="s">
        <v>34</v>
      </c>
      <c r="C116" t="s">
        <v>26</v>
      </c>
      <c r="D116" t="s">
        <v>14</v>
      </c>
      <c r="E116" s="2">
        <v>45408</v>
      </c>
      <c r="F116" s="2">
        <v>45420</v>
      </c>
      <c r="G116" s="2">
        <v>45445</v>
      </c>
      <c r="H116" s="3">
        <v>1</v>
      </c>
      <c r="I116" s="4">
        <v>24000</v>
      </c>
      <c r="J116" s="4">
        <v>25700</v>
      </c>
      <c r="K116" t="s">
        <v>15</v>
      </c>
      <c r="L116" s="4">
        <f t="shared" si="3"/>
        <v>-1700</v>
      </c>
      <c r="M116" t="str">
        <f t="shared" si="4"/>
        <v>Over Budget</v>
      </c>
      <c r="N116">
        <f t="shared" ca="1" si="5"/>
        <v>25</v>
      </c>
    </row>
    <row r="117" spans="1:14" x14ac:dyDescent="0.25">
      <c r="A117" t="s">
        <v>104</v>
      </c>
      <c r="B117" t="s">
        <v>89</v>
      </c>
      <c r="C117" t="s">
        <v>54</v>
      </c>
      <c r="D117" t="s">
        <v>23</v>
      </c>
      <c r="E117" s="2">
        <v>45706</v>
      </c>
      <c r="F117" s="2">
        <v>45726</v>
      </c>
      <c r="G117" s="2">
        <v>45717</v>
      </c>
      <c r="H117" s="3">
        <v>1</v>
      </c>
      <c r="I117" s="4">
        <v>41000</v>
      </c>
      <c r="J117" s="4">
        <v>51700</v>
      </c>
      <c r="K117" t="s">
        <v>15</v>
      </c>
      <c r="L117" s="4">
        <f t="shared" si="3"/>
        <v>-10700</v>
      </c>
      <c r="M117" t="str">
        <f t="shared" si="4"/>
        <v>Over Budget</v>
      </c>
      <c r="N117">
        <f t="shared" ca="1" si="5"/>
        <v>-9</v>
      </c>
    </row>
    <row r="118" spans="1:14" x14ac:dyDescent="0.25">
      <c r="A118" t="s">
        <v>118</v>
      </c>
      <c r="B118" t="s">
        <v>75</v>
      </c>
      <c r="C118" t="s">
        <v>28</v>
      </c>
      <c r="D118" t="s">
        <v>14</v>
      </c>
      <c r="E118" s="2">
        <v>45769</v>
      </c>
      <c r="F118" s="2">
        <v>45781</v>
      </c>
      <c r="G118" s="2"/>
      <c r="H118" s="3">
        <v>0.47</v>
      </c>
      <c r="I118" s="4">
        <v>30000</v>
      </c>
      <c r="J118" s="4">
        <v>16700</v>
      </c>
      <c r="K118" t="s">
        <v>65</v>
      </c>
      <c r="L118" s="4">
        <f t="shared" si="3"/>
        <v>13300</v>
      </c>
      <c r="M118" t="str">
        <f t="shared" si="4"/>
        <v>Within Budget</v>
      </c>
      <c r="N118">
        <f t="shared" ca="1" si="5"/>
        <v>505</v>
      </c>
    </row>
    <row r="119" spans="1:14" x14ac:dyDescent="0.25">
      <c r="A119" t="s">
        <v>91</v>
      </c>
      <c r="B119" t="s">
        <v>116</v>
      </c>
      <c r="C119" t="s">
        <v>22</v>
      </c>
      <c r="D119" t="s">
        <v>14</v>
      </c>
      <c r="E119" s="2">
        <v>45378</v>
      </c>
      <c r="F119" s="2">
        <v>45410</v>
      </c>
      <c r="G119" s="2"/>
      <c r="H119" s="3">
        <v>0.56999999999999995</v>
      </c>
      <c r="I119" s="4">
        <v>97000</v>
      </c>
      <c r="J119" s="4">
        <v>69600</v>
      </c>
      <c r="K119" t="s">
        <v>19</v>
      </c>
      <c r="L119" s="4">
        <f t="shared" si="3"/>
        <v>27400</v>
      </c>
      <c r="M119" t="str">
        <f t="shared" si="4"/>
        <v>Within Budget</v>
      </c>
      <c r="N119">
        <f t="shared" ca="1" si="5"/>
        <v>876</v>
      </c>
    </row>
    <row r="120" spans="1:14" x14ac:dyDescent="0.25">
      <c r="A120" t="s">
        <v>16</v>
      </c>
      <c r="B120" t="s">
        <v>101</v>
      </c>
      <c r="C120" t="s">
        <v>35</v>
      </c>
      <c r="D120" t="s">
        <v>32</v>
      </c>
      <c r="E120" s="2">
        <v>45378</v>
      </c>
      <c r="F120" s="2">
        <v>45400</v>
      </c>
      <c r="G120" s="2">
        <v>45405</v>
      </c>
      <c r="H120" s="3">
        <v>1</v>
      </c>
      <c r="I120" s="4">
        <v>28000</v>
      </c>
      <c r="J120" s="4">
        <v>27700</v>
      </c>
      <c r="K120" t="s">
        <v>15</v>
      </c>
      <c r="L120" s="4">
        <f t="shared" si="3"/>
        <v>300</v>
      </c>
      <c r="M120" t="str">
        <f t="shared" si="4"/>
        <v>Within Budget</v>
      </c>
      <c r="N120">
        <f t="shared" ca="1" si="5"/>
        <v>5</v>
      </c>
    </row>
    <row r="121" spans="1:14" x14ac:dyDescent="0.25">
      <c r="A121" t="s">
        <v>20</v>
      </c>
      <c r="B121" t="s">
        <v>51</v>
      </c>
      <c r="C121" t="s">
        <v>111</v>
      </c>
      <c r="D121" t="s">
        <v>23</v>
      </c>
      <c r="E121" s="2">
        <v>45366</v>
      </c>
      <c r="F121" s="2">
        <v>45386</v>
      </c>
      <c r="G121" s="2">
        <v>45398</v>
      </c>
      <c r="H121" s="3">
        <v>1</v>
      </c>
      <c r="I121" s="4">
        <v>48000</v>
      </c>
      <c r="J121" s="4">
        <v>51500</v>
      </c>
      <c r="K121" t="s">
        <v>15</v>
      </c>
      <c r="L121" s="4">
        <f t="shared" si="3"/>
        <v>-3500</v>
      </c>
      <c r="M121" t="str">
        <f t="shared" si="4"/>
        <v>Over Budget</v>
      </c>
      <c r="N121">
        <f t="shared" ca="1" si="5"/>
        <v>12</v>
      </c>
    </row>
    <row r="122" spans="1:14" x14ac:dyDescent="0.25">
      <c r="A122" t="s">
        <v>118</v>
      </c>
      <c r="B122" t="s">
        <v>119</v>
      </c>
      <c r="C122" t="s">
        <v>61</v>
      </c>
      <c r="D122" t="s">
        <v>32</v>
      </c>
      <c r="E122" s="2">
        <v>45453</v>
      </c>
      <c r="F122" s="2">
        <v>45463</v>
      </c>
      <c r="G122" s="2"/>
      <c r="H122" s="3">
        <v>0.71</v>
      </c>
      <c r="I122" s="4">
        <v>12000</v>
      </c>
      <c r="J122" s="4">
        <v>10900</v>
      </c>
      <c r="K122" t="s">
        <v>19</v>
      </c>
      <c r="L122" s="4">
        <f t="shared" si="3"/>
        <v>1100</v>
      </c>
      <c r="M122" t="str">
        <f t="shared" si="4"/>
        <v>Within Budget</v>
      </c>
      <c r="N122">
        <f t="shared" ca="1" si="5"/>
        <v>823</v>
      </c>
    </row>
    <row r="123" spans="1:14" x14ac:dyDescent="0.25">
      <c r="A123" t="s">
        <v>120</v>
      </c>
      <c r="B123" t="s">
        <v>95</v>
      </c>
      <c r="C123" t="s">
        <v>35</v>
      </c>
      <c r="D123" t="s">
        <v>14</v>
      </c>
      <c r="E123" s="2">
        <v>45392</v>
      </c>
      <c r="F123" s="2">
        <v>45426</v>
      </c>
      <c r="G123" s="2"/>
      <c r="H123" s="3">
        <v>0.23</v>
      </c>
      <c r="I123" s="4">
        <v>54000</v>
      </c>
      <c r="J123" s="4">
        <v>64800</v>
      </c>
      <c r="K123" t="s">
        <v>19</v>
      </c>
      <c r="L123" s="4">
        <f t="shared" si="3"/>
        <v>-10800</v>
      </c>
      <c r="M123" t="str">
        <f t="shared" si="4"/>
        <v>Over Budget</v>
      </c>
      <c r="N123">
        <f t="shared" ca="1" si="5"/>
        <v>860</v>
      </c>
    </row>
    <row r="124" spans="1:14" x14ac:dyDescent="0.25">
      <c r="A124" t="s">
        <v>24</v>
      </c>
      <c r="B124" t="s">
        <v>46</v>
      </c>
      <c r="C124" t="s">
        <v>112</v>
      </c>
      <c r="D124" t="s">
        <v>23</v>
      </c>
      <c r="E124" s="2">
        <v>45809</v>
      </c>
      <c r="F124" s="2">
        <v>45838</v>
      </c>
      <c r="G124" s="2"/>
      <c r="H124" s="3">
        <v>0</v>
      </c>
      <c r="I124" s="4">
        <v>22000</v>
      </c>
      <c r="J124" s="4">
        <v>0</v>
      </c>
      <c r="K124" t="s">
        <v>48</v>
      </c>
      <c r="L124" s="4">
        <f t="shared" si="3"/>
        <v>22000</v>
      </c>
      <c r="M124" t="str">
        <f t="shared" si="4"/>
        <v>Within Budget</v>
      </c>
      <c r="N124">
        <f t="shared" ca="1" si="5"/>
        <v>448</v>
      </c>
    </row>
    <row r="125" spans="1:14" x14ac:dyDescent="0.25">
      <c r="A125" t="s">
        <v>50</v>
      </c>
      <c r="B125" t="s">
        <v>43</v>
      </c>
      <c r="C125" t="s">
        <v>26</v>
      </c>
      <c r="D125" t="s">
        <v>23</v>
      </c>
      <c r="E125" s="2">
        <v>45344</v>
      </c>
      <c r="F125" s="2">
        <v>45396</v>
      </c>
      <c r="G125" s="2">
        <v>45397</v>
      </c>
      <c r="H125" s="3">
        <v>1</v>
      </c>
      <c r="I125" s="4">
        <v>52000</v>
      </c>
      <c r="J125" s="4">
        <v>65000</v>
      </c>
      <c r="K125" t="s">
        <v>15</v>
      </c>
      <c r="L125" s="4">
        <f t="shared" si="3"/>
        <v>-13000</v>
      </c>
      <c r="M125" t="str">
        <f t="shared" si="4"/>
        <v>Over Budget</v>
      </c>
      <c r="N125">
        <f t="shared" ca="1" si="5"/>
        <v>1</v>
      </c>
    </row>
    <row r="126" spans="1:14" x14ac:dyDescent="0.25">
      <c r="A126" t="s">
        <v>81</v>
      </c>
      <c r="B126" t="s">
        <v>38</v>
      </c>
      <c r="C126" t="s">
        <v>87</v>
      </c>
      <c r="D126" t="s">
        <v>14</v>
      </c>
      <c r="E126" s="2">
        <v>45364</v>
      </c>
      <c r="F126" s="2">
        <v>45396</v>
      </c>
      <c r="G126" s="2">
        <v>45387</v>
      </c>
      <c r="H126" s="3">
        <v>1</v>
      </c>
      <c r="I126" s="4">
        <v>36000</v>
      </c>
      <c r="J126" s="4">
        <v>50300</v>
      </c>
      <c r="K126" t="s">
        <v>15</v>
      </c>
      <c r="L126" s="4">
        <f t="shared" si="3"/>
        <v>-14300</v>
      </c>
      <c r="M126" t="str">
        <f t="shared" si="4"/>
        <v>Over Budget</v>
      </c>
      <c r="N126">
        <f t="shared" ca="1" si="5"/>
        <v>-9</v>
      </c>
    </row>
    <row r="127" spans="1:14" x14ac:dyDescent="0.25">
      <c r="A127" t="s">
        <v>83</v>
      </c>
      <c r="B127" t="s">
        <v>89</v>
      </c>
      <c r="C127" t="s">
        <v>100</v>
      </c>
      <c r="D127" t="s">
        <v>36</v>
      </c>
      <c r="E127" s="2">
        <v>45462</v>
      </c>
      <c r="F127" s="2">
        <v>45472</v>
      </c>
      <c r="G127" s="2"/>
      <c r="H127" s="3">
        <v>0.41</v>
      </c>
      <c r="I127" s="4">
        <v>6000</v>
      </c>
      <c r="J127" s="4">
        <v>6300</v>
      </c>
      <c r="K127" t="s">
        <v>19</v>
      </c>
      <c r="L127" s="4">
        <f t="shared" si="3"/>
        <v>-300</v>
      </c>
      <c r="M127" t="str">
        <f t="shared" si="4"/>
        <v>Over Budget</v>
      </c>
      <c r="N127">
        <f t="shared" ca="1" si="5"/>
        <v>814</v>
      </c>
    </row>
    <row r="128" spans="1:14" x14ac:dyDescent="0.25">
      <c r="A128" t="s">
        <v>103</v>
      </c>
      <c r="B128" t="s">
        <v>98</v>
      </c>
      <c r="C128" t="s">
        <v>41</v>
      </c>
      <c r="D128" t="s">
        <v>14</v>
      </c>
      <c r="E128" s="2">
        <v>45618</v>
      </c>
      <c r="F128" s="2">
        <v>45645</v>
      </c>
      <c r="G128" s="2">
        <v>45623</v>
      </c>
      <c r="H128" s="3">
        <v>0</v>
      </c>
      <c r="I128" s="4">
        <v>29000</v>
      </c>
      <c r="J128" s="4">
        <v>8500</v>
      </c>
      <c r="K128" t="s">
        <v>27</v>
      </c>
      <c r="L128" s="4">
        <f t="shared" si="3"/>
        <v>20500</v>
      </c>
      <c r="M128" t="str">
        <f t="shared" si="4"/>
        <v>Within Budget</v>
      </c>
      <c r="N128">
        <f t="shared" ca="1" si="5"/>
        <v>-22</v>
      </c>
    </row>
    <row r="129" spans="1:14" x14ac:dyDescent="0.25">
      <c r="A129" t="s">
        <v>66</v>
      </c>
      <c r="B129" t="s">
        <v>114</v>
      </c>
      <c r="C129" t="s">
        <v>44</v>
      </c>
      <c r="D129" t="s">
        <v>23</v>
      </c>
      <c r="E129" s="2">
        <v>45615</v>
      </c>
      <c r="F129" s="2">
        <v>45637</v>
      </c>
      <c r="G129" s="2"/>
      <c r="H129" s="3">
        <v>0.32</v>
      </c>
      <c r="I129" s="4">
        <v>10000</v>
      </c>
      <c r="J129" s="4">
        <v>10800</v>
      </c>
      <c r="K129" t="s">
        <v>19</v>
      </c>
      <c r="L129" s="4">
        <f t="shared" si="3"/>
        <v>-800</v>
      </c>
      <c r="M129" t="str">
        <f t="shared" si="4"/>
        <v>Over Budget</v>
      </c>
      <c r="N129">
        <f t="shared" ca="1" si="5"/>
        <v>649</v>
      </c>
    </row>
    <row r="130" spans="1:14" x14ac:dyDescent="0.25">
      <c r="A130" t="s">
        <v>109</v>
      </c>
      <c r="B130" t="s">
        <v>70</v>
      </c>
      <c r="C130" t="s">
        <v>13</v>
      </c>
      <c r="D130" t="s">
        <v>14</v>
      </c>
      <c r="E130" s="2">
        <v>45294</v>
      </c>
      <c r="F130" s="2">
        <v>45308</v>
      </c>
      <c r="G130" s="2"/>
      <c r="H130" s="3">
        <v>0.33</v>
      </c>
      <c r="I130" s="4">
        <v>13000</v>
      </c>
      <c r="J130" s="4">
        <v>16300</v>
      </c>
      <c r="K130" t="s">
        <v>19</v>
      </c>
      <c r="L130" s="4">
        <f t="shared" si="3"/>
        <v>-3300</v>
      </c>
      <c r="M130" t="str">
        <f t="shared" si="4"/>
        <v>Over Budget</v>
      </c>
      <c r="N130">
        <f t="shared" ca="1" si="5"/>
        <v>978</v>
      </c>
    </row>
    <row r="131" spans="1:14" x14ac:dyDescent="0.25">
      <c r="A131" t="s">
        <v>121</v>
      </c>
      <c r="B131" t="s">
        <v>122</v>
      </c>
      <c r="C131" t="s">
        <v>28</v>
      </c>
      <c r="D131" t="s">
        <v>14</v>
      </c>
      <c r="E131" s="2">
        <v>45475</v>
      </c>
      <c r="F131" s="2">
        <v>45494</v>
      </c>
      <c r="G131" s="2"/>
      <c r="H131" s="3">
        <v>0.79</v>
      </c>
      <c r="I131" s="4">
        <v>11000</v>
      </c>
      <c r="J131" s="4">
        <v>13300</v>
      </c>
      <c r="K131" t="s">
        <v>19</v>
      </c>
      <c r="L131" s="4">
        <f t="shared" ref="L131:L194" si="6">I131-J131</f>
        <v>-2300</v>
      </c>
      <c r="M131" t="str">
        <f t="shared" ref="M131:M194" si="7">IF(L131&lt;0, "Over Budget", "Within Budget")</f>
        <v>Over Budget</v>
      </c>
      <c r="N131">
        <f t="shared" ref="N131:N194" ca="1" si="8">IF(G131="",TODAY()-F131,G131-F131)</f>
        <v>792</v>
      </c>
    </row>
    <row r="132" spans="1:14" x14ac:dyDescent="0.25">
      <c r="A132" t="s">
        <v>42</v>
      </c>
      <c r="B132" t="s">
        <v>51</v>
      </c>
      <c r="C132" t="s">
        <v>100</v>
      </c>
      <c r="D132" t="s">
        <v>23</v>
      </c>
      <c r="E132" s="2">
        <v>45564</v>
      </c>
      <c r="F132" s="2">
        <v>45597</v>
      </c>
      <c r="G132" s="2">
        <v>45623</v>
      </c>
      <c r="H132" s="3">
        <v>1</v>
      </c>
      <c r="I132" s="4">
        <v>93000</v>
      </c>
      <c r="J132" s="4">
        <v>104900</v>
      </c>
      <c r="K132" t="s">
        <v>15</v>
      </c>
      <c r="L132" s="4">
        <f t="shared" si="6"/>
        <v>-11900</v>
      </c>
      <c r="M132" t="str">
        <f t="shared" si="7"/>
        <v>Over Budget</v>
      </c>
      <c r="N132">
        <f t="shared" ca="1" si="8"/>
        <v>26</v>
      </c>
    </row>
    <row r="133" spans="1:14" x14ac:dyDescent="0.25">
      <c r="A133" t="s">
        <v>24</v>
      </c>
      <c r="B133" t="s">
        <v>51</v>
      </c>
      <c r="C133" t="s">
        <v>111</v>
      </c>
      <c r="D133" t="s">
        <v>23</v>
      </c>
      <c r="E133" s="2">
        <v>45814</v>
      </c>
      <c r="F133" s="2">
        <v>45821</v>
      </c>
      <c r="G133" s="2"/>
      <c r="H133" s="3">
        <v>0</v>
      </c>
      <c r="I133" s="4">
        <v>10000</v>
      </c>
      <c r="J133" s="4">
        <v>0</v>
      </c>
      <c r="K133" t="s">
        <v>48</v>
      </c>
      <c r="L133" s="4">
        <f t="shared" si="6"/>
        <v>10000</v>
      </c>
      <c r="M133" t="str">
        <f t="shared" si="7"/>
        <v>Within Budget</v>
      </c>
      <c r="N133">
        <f t="shared" ca="1" si="8"/>
        <v>465</v>
      </c>
    </row>
    <row r="134" spans="1:14" x14ac:dyDescent="0.25">
      <c r="A134" t="s">
        <v>55</v>
      </c>
      <c r="B134" t="s">
        <v>93</v>
      </c>
      <c r="C134" t="s">
        <v>41</v>
      </c>
      <c r="D134" t="s">
        <v>14</v>
      </c>
      <c r="E134" s="2">
        <v>45488</v>
      </c>
      <c r="F134" s="2">
        <v>45513</v>
      </c>
      <c r="G134" s="2">
        <v>45514</v>
      </c>
      <c r="H134" s="3">
        <v>1</v>
      </c>
      <c r="I134" s="4">
        <v>43000</v>
      </c>
      <c r="J134" s="4">
        <v>39300</v>
      </c>
      <c r="K134" t="s">
        <v>15</v>
      </c>
      <c r="L134" s="4">
        <f t="shared" si="6"/>
        <v>3700</v>
      </c>
      <c r="M134" t="str">
        <f t="shared" si="7"/>
        <v>Within Budget</v>
      </c>
      <c r="N134">
        <f t="shared" ca="1" si="8"/>
        <v>1</v>
      </c>
    </row>
    <row r="135" spans="1:14" x14ac:dyDescent="0.25">
      <c r="A135" t="s">
        <v>99</v>
      </c>
      <c r="B135" t="s">
        <v>80</v>
      </c>
      <c r="C135" t="s">
        <v>111</v>
      </c>
      <c r="D135" t="s">
        <v>23</v>
      </c>
      <c r="E135" s="2">
        <v>45316</v>
      </c>
      <c r="F135" s="2">
        <v>45329</v>
      </c>
      <c r="G135" s="2">
        <v>45363</v>
      </c>
      <c r="H135" s="3">
        <v>1</v>
      </c>
      <c r="I135" s="4">
        <v>37000</v>
      </c>
      <c r="J135" s="4">
        <v>45400</v>
      </c>
      <c r="K135" t="s">
        <v>15</v>
      </c>
      <c r="L135" s="4">
        <f t="shared" si="6"/>
        <v>-8400</v>
      </c>
      <c r="M135" t="str">
        <f t="shared" si="7"/>
        <v>Over Budget</v>
      </c>
      <c r="N135">
        <f t="shared" ca="1" si="8"/>
        <v>34</v>
      </c>
    </row>
    <row r="136" spans="1:14" x14ac:dyDescent="0.25">
      <c r="A136" t="s">
        <v>104</v>
      </c>
      <c r="B136" t="s">
        <v>108</v>
      </c>
      <c r="C136" t="s">
        <v>61</v>
      </c>
      <c r="D136" t="s">
        <v>32</v>
      </c>
      <c r="E136" s="2">
        <v>45634</v>
      </c>
      <c r="F136" s="2">
        <v>45668</v>
      </c>
      <c r="G136" s="2">
        <v>45658</v>
      </c>
      <c r="H136" s="3">
        <v>1</v>
      </c>
      <c r="I136" s="4">
        <v>69000</v>
      </c>
      <c r="J136" s="4">
        <v>84000</v>
      </c>
      <c r="K136" t="s">
        <v>15</v>
      </c>
      <c r="L136" s="4">
        <f t="shared" si="6"/>
        <v>-15000</v>
      </c>
      <c r="M136" t="str">
        <f t="shared" si="7"/>
        <v>Over Budget</v>
      </c>
      <c r="N136">
        <f t="shared" ca="1" si="8"/>
        <v>-10</v>
      </c>
    </row>
    <row r="137" spans="1:14" x14ac:dyDescent="0.25">
      <c r="A137" t="s">
        <v>29</v>
      </c>
      <c r="B137" t="s">
        <v>82</v>
      </c>
      <c r="C137" t="s">
        <v>60</v>
      </c>
      <c r="D137" t="s">
        <v>23</v>
      </c>
      <c r="E137" s="2">
        <v>45528</v>
      </c>
      <c r="F137" s="2">
        <v>45538</v>
      </c>
      <c r="G137" s="2"/>
      <c r="H137" s="3">
        <v>0.85</v>
      </c>
      <c r="I137" s="4">
        <v>11000</v>
      </c>
      <c r="J137" s="4">
        <v>11800</v>
      </c>
      <c r="K137" t="s">
        <v>19</v>
      </c>
      <c r="L137" s="4">
        <f t="shared" si="6"/>
        <v>-800</v>
      </c>
      <c r="M137" t="str">
        <f t="shared" si="7"/>
        <v>Over Budget</v>
      </c>
      <c r="N137">
        <f t="shared" ca="1" si="8"/>
        <v>748</v>
      </c>
    </row>
    <row r="138" spans="1:14" x14ac:dyDescent="0.25">
      <c r="A138" t="s">
        <v>11</v>
      </c>
      <c r="B138" t="s">
        <v>73</v>
      </c>
      <c r="C138" t="s">
        <v>112</v>
      </c>
      <c r="D138" t="s">
        <v>36</v>
      </c>
      <c r="E138" s="2">
        <v>45732</v>
      </c>
      <c r="F138" s="2">
        <v>45776</v>
      </c>
      <c r="G138" s="2"/>
      <c r="H138" s="3">
        <v>0</v>
      </c>
      <c r="I138" s="4">
        <v>81000</v>
      </c>
      <c r="J138" s="4">
        <v>0</v>
      </c>
      <c r="K138" t="s">
        <v>48</v>
      </c>
      <c r="L138" s="4">
        <f t="shared" si="6"/>
        <v>81000</v>
      </c>
      <c r="M138" t="str">
        <f t="shared" si="7"/>
        <v>Within Budget</v>
      </c>
      <c r="N138">
        <f t="shared" ca="1" si="8"/>
        <v>510</v>
      </c>
    </row>
    <row r="139" spans="1:14" x14ac:dyDescent="0.25">
      <c r="A139" t="s">
        <v>99</v>
      </c>
      <c r="B139" t="s">
        <v>90</v>
      </c>
      <c r="C139" t="s">
        <v>31</v>
      </c>
      <c r="D139" t="s">
        <v>14</v>
      </c>
      <c r="E139" s="2">
        <v>45733</v>
      </c>
      <c r="F139" s="2">
        <v>45771</v>
      </c>
      <c r="G139" s="2"/>
      <c r="H139" s="3">
        <v>0</v>
      </c>
      <c r="I139" s="4">
        <v>91000</v>
      </c>
      <c r="J139" s="4">
        <v>0</v>
      </c>
      <c r="K139" t="s">
        <v>48</v>
      </c>
      <c r="L139" s="4">
        <f t="shared" si="6"/>
        <v>91000</v>
      </c>
      <c r="M139" t="str">
        <f t="shared" si="7"/>
        <v>Within Budget</v>
      </c>
      <c r="N139">
        <f t="shared" ca="1" si="8"/>
        <v>515</v>
      </c>
    </row>
    <row r="140" spans="1:14" x14ac:dyDescent="0.25">
      <c r="A140" t="s">
        <v>53</v>
      </c>
      <c r="B140" t="s">
        <v>80</v>
      </c>
      <c r="C140" t="s">
        <v>22</v>
      </c>
      <c r="D140" t="s">
        <v>14</v>
      </c>
      <c r="E140" s="2">
        <v>45779</v>
      </c>
      <c r="F140" s="2">
        <v>45786</v>
      </c>
      <c r="G140" s="2"/>
      <c r="H140" s="3">
        <v>0</v>
      </c>
      <c r="I140" s="4">
        <v>6000</v>
      </c>
      <c r="J140" s="4">
        <v>0</v>
      </c>
      <c r="K140" t="s">
        <v>48</v>
      </c>
      <c r="L140" s="4">
        <f t="shared" si="6"/>
        <v>6000</v>
      </c>
      <c r="M140" t="str">
        <f t="shared" si="7"/>
        <v>Within Budget</v>
      </c>
      <c r="N140">
        <f t="shared" ca="1" si="8"/>
        <v>500</v>
      </c>
    </row>
    <row r="141" spans="1:14" x14ac:dyDescent="0.25">
      <c r="A141" t="s">
        <v>11</v>
      </c>
      <c r="B141" t="s">
        <v>21</v>
      </c>
      <c r="C141" t="s">
        <v>26</v>
      </c>
      <c r="D141" t="s">
        <v>14</v>
      </c>
      <c r="E141" s="2">
        <v>45345</v>
      </c>
      <c r="F141" s="2">
        <v>45355</v>
      </c>
      <c r="G141" s="2">
        <v>45356</v>
      </c>
      <c r="H141" s="3">
        <v>1</v>
      </c>
      <c r="I141" s="4">
        <v>6000</v>
      </c>
      <c r="J141" s="4">
        <v>5300</v>
      </c>
      <c r="K141" t="s">
        <v>15</v>
      </c>
      <c r="L141" s="4">
        <f t="shared" si="6"/>
        <v>700</v>
      </c>
      <c r="M141" t="str">
        <f t="shared" si="7"/>
        <v>Within Budget</v>
      </c>
      <c r="N141">
        <f t="shared" ca="1" si="8"/>
        <v>1</v>
      </c>
    </row>
    <row r="142" spans="1:14" x14ac:dyDescent="0.25">
      <c r="A142" t="s">
        <v>11</v>
      </c>
      <c r="B142" t="s">
        <v>93</v>
      </c>
      <c r="C142" t="s">
        <v>100</v>
      </c>
      <c r="D142" t="s">
        <v>36</v>
      </c>
      <c r="E142" s="2">
        <v>45625</v>
      </c>
      <c r="F142" s="2">
        <v>45655</v>
      </c>
      <c r="G142" s="2">
        <v>45667</v>
      </c>
      <c r="H142" s="3">
        <v>1</v>
      </c>
      <c r="I142" s="4">
        <v>23000</v>
      </c>
      <c r="J142" s="4">
        <v>20400</v>
      </c>
      <c r="K142" t="s">
        <v>15</v>
      </c>
      <c r="L142" s="4">
        <f t="shared" si="6"/>
        <v>2600</v>
      </c>
      <c r="M142" t="str">
        <f t="shared" si="7"/>
        <v>Within Budget</v>
      </c>
      <c r="N142">
        <f t="shared" ca="1" si="8"/>
        <v>12</v>
      </c>
    </row>
    <row r="143" spans="1:14" x14ac:dyDescent="0.25">
      <c r="A143" t="s">
        <v>29</v>
      </c>
      <c r="B143" t="s">
        <v>73</v>
      </c>
      <c r="C143" t="s">
        <v>100</v>
      </c>
      <c r="D143" t="s">
        <v>14</v>
      </c>
      <c r="E143" s="2">
        <v>45826</v>
      </c>
      <c r="F143" s="2">
        <v>45892</v>
      </c>
      <c r="G143" s="2"/>
      <c r="H143" s="3">
        <v>0.56000000000000005</v>
      </c>
      <c r="I143" s="4">
        <v>190000</v>
      </c>
      <c r="J143" s="4">
        <v>111800</v>
      </c>
      <c r="K143" t="s">
        <v>65</v>
      </c>
      <c r="L143" s="4">
        <f t="shared" si="6"/>
        <v>78200</v>
      </c>
      <c r="M143" t="str">
        <f t="shared" si="7"/>
        <v>Within Budget</v>
      </c>
      <c r="N143">
        <f t="shared" ca="1" si="8"/>
        <v>394</v>
      </c>
    </row>
    <row r="144" spans="1:14" x14ac:dyDescent="0.25">
      <c r="A144" t="s">
        <v>62</v>
      </c>
      <c r="B144" t="s">
        <v>38</v>
      </c>
      <c r="C144" t="s">
        <v>31</v>
      </c>
      <c r="D144" t="s">
        <v>32</v>
      </c>
      <c r="E144" s="2">
        <v>45508</v>
      </c>
      <c r="F144" s="2">
        <v>45542</v>
      </c>
      <c r="G144" s="2">
        <v>45545</v>
      </c>
      <c r="H144" s="3">
        <v>1</v>
      </c>
      <c r="I144" s="4">
        <v>93000</v>
      </c>
      <c r="J144" s="4">
        <v>93100</v>
      </c>
      <c r="K144" t="s">
        <v>15</v>
      </c>
      <c r="L144" s="4">
        <f t="shared" si="6"/>
        <v>-100</v>
      </c>
      <c r="M144" t="str">
        <f t="shared" si="7"/>
        <v>Over Budget</v>
      </c>
      <c r="N144">
        <f t="shared" ca="1" si="8"/>
        <v>3</v>
      </c>
    </row>
    <row r="145" spans="1:14" x14ac:dyDescent="0.25">
      <c r="A145" t="s">
        <v>120</v>
      </c>
      <c r="B145" t="s">
        <v>88</v>
      </c>
      <c r="C145" t="s">
        <v>87</v>
      </c>
      <c r="D145" t="s">
        <v>36</v>
      </c>
      <c r="E145" s="2">
        <v>45679</v>
      </c>
      <c r="F145" s="2">
        <v>45695</v>
      </c>
      <c r="G145" s="2"/>
      <c r="H145" s="3">
        <v>0.6</v>
      </c>
      <c r="I145" s="4">
        <v>47000</v>
      </c>
      <c r="J145" s="4">
        <v>39200</v>
      </c>
      <c r="K145" t="s">
        <v>19</v>
      </c>
      <c r="L145" s="4">
        <f t="shared" si="6"/>
        <v>7800</v>
      </c>
      <c r="M145" t="str">
        <f t="shared" si="7"/>
        <v>Within Budget</v>
      </c>
      <c r="N145">
        <f t="shared" ca="1" si="8"/>
        <v>591</v>
      </c>
    </row>
    <row r="146" spans="1:14" x14ac:dyDescent="0.25">
      <c r="A146" t="s">
        <v>81</v>
      </c>
      <c r="B146" t="s">
        <v>89</v>
      </c>
      <c r="C146" t="s">
        <v>113</v>
      </c>
      <c r="D146" t="s">
        <v>14</v>
      </c>
      <c r="E146" s="2">
        <v>45723</v>
      </c>
      <c r="F146" s="2">
        <v>45744</v>
      </c>
      <c r="G146" s="2"/>
      <c r="H146" s="3">
        <v>0</v>
      </c>
      <c r="I146" s="4">
        <v>20000</v>
      </c>
      <c r="J146" s="4">
        <v>0</v>
      </c>
      <c r="K146" t="s">
        <v>48</v>
      </c>
      <c r="L146" s="4">
        <f t="shared" si="6"/>
        <v>20000</v>
      </c>
      <c r="M146" t="str">
        <f t="shared" si="7"/>
        <v>Within Budget</v>
      </c>
      <c r="N146">
        <f t="shared" ca="1" si="8"/>
        <v>542</v>
      </c>
    </row>
    <row r="147" spans="1:14" x14ac:dyDescent="0.25">
      <c r="A147" t="s">
        <v>79</v>
      </c>
      <c r="B147" t="s">
        <v>116</v>
      </c>
      <c r="C147" t="s">
        <v>31</v>
      </c>
      <c r="D147" t="s">
        <v>14</v>
      </c>
      <c r="E147" s="2">
        <v>45652</v>
      </c>
      <c r="F147" s="2">
        <v>45682</v>
      </c>
      <c r="G147" s="2"/>
      <c r="H147" s="3">
        <v>0.65</v>
      </c>
      <c r="I147" s="4">
        <v>28000</v>
      </c>
      <c r="J147" s="4">
        <v>22700</v>
      </c>
      <c r="K147" t="s">
        <v>19</v>
      </c>
      <c r="L147" s="4">
        <f t="shared" si="6"/>
        <v>5300</v>
      </c>
      <c r="M147" t="str">
        <f t="shared" si="7"/>
        <v>Within Budget</v>
      </c>
      <c r="N147">
        <f t="shared" ca="1" si="8"/>
        <v>604</v>
      </c>
    </row>
    <row r="148" spans="1:14" x14ac:dyDescent="0.25">
      <c r="A148" t="s">
        <v>20</v>
      </c>
      <c r="B148" t="s">
        <v>114</v>
      </c>
      <c r="C148" t="s">
        <v>111</v>
      </c>
      <c r="D148" t="s">
        <v>14</v>
      </c>
      <c r="E148" s="2">
        <v>45685</v>
      </c>
      <c r="F148" s="2">
        <v>45693</v>
      </c>
      <c r="G148" s="2"/>
      <c r="H148" s="3">
        <v>0.64</v>
      </c>
      <c r="I148" s="4">
        <v>7000</v>
      </c>
      <c r="J148" s="4">
        <v>6300</v>
      </c>
      <c r="K148" t="s">
        <v>19</v>
      </c>
      <c r="L148" s="4">
        <f t="shared" si="6"/>
        <v>700</v>
      </c>
      <c r="M148" t="str">
        <f t="shared" si="7"/>
        <v>Within Budget</v>
      </c>
      <c r="N148">
        <f t="shared" ca="1" si="8"/>
        <v>593</v>
      </c>
    </row>
    <row r="149" spans="1:14" x14ac:dyDescent="0.25">
      <c r="A149" t="s">
        <v>109</v>
      </c>
      <c r="B149" t="s">
        <v>49</v>
      </c>
      <c r="C149" t="s">
        <v>52</v>
      </c>
      <c r="D149" t="s">
        <v>23</v>
      </c>
      <c r="E149" s="2">
        <v>45830</v>
      </c>
      <c r="F149" s="2">
        <v>45844</v>
      </c>
      <c r="G149" s="2"/>
      <c r="H149" s="3">
        <v>0.13</v>
      </c>
      <c r="I149" s="4">
        <v>46000</v>
      </c>
      <c r="J149" s="4">
        <v>6500</v>
      </c>
      <c r="K149" t="s">
        <v>65</v>
      </c>
      <c r="L149" s="4">
        <f t="shared" si="6"/>
        <v>39500</v>
      </c>
      <c r="M149" t="str">
        <f t="shared" si="7"/>
        <v>Within Budget</v>
      </c>
      <c r="N149">
        <f t="shared" ca="1" si="8"/>
        <v>442</v>
      </c>
    </row>
    <row r="150" spans="1:14" x14ac:dyDescent="0.25">
      <c r="A150" t="s">
        <v>99</v>
      </c>
      <c r="B150" t="s">
        <v>63</v>
      </c>
      <c r="C150" t="s">
        <v>47</v>
      </c>
      <c r="D150" t="s">
        <v>36</v>
      </c>
      <c r="E150" s="2">
        <v>45325</v>
      </c>
      <c r="F150" s="2">
        <v>45331</v>
      </c>
      <c r="G150" s="2">
        <v>45330</v>
      </c>
      <c r="H150" s="3">
        <v>1</v>
      </c>
      <c r="I150" s="4">
        <v>15000</v>
      </c>
      <c r="J150" s="4">
        <v>18900</v>
      </c>
      <c r="K150" t="s">
        <v>15</v>
      </c>
      <c r="L150" s="4">
        <f t="shared" si="6"/>
        <v>-3900</v>
      </c>
      <c r="M150" t="str">
        <f t="shared" si="7"/>
        <v>Over Budget</v>
      </c>
      <c r="N150">
        <f t="shared" ca="1" si="8"/>
        <v>-1</v>
      </c>
    </row>
    <row r="151" spans="1:14" x14ac:dyDescent="0.25">
      <c r="A151" t="s">
        <v>72</v>
      </c>
      <c r="B151" t="s">
        <v>115</v>
      </c>
      <c r="C151" t="s">
        <v>105</v>
      </c>
      <c r="D151" t="s">
        <v>23</v>
      </c>
      <c r="E151" s="2">
        <v>45808</v>
      </c>
      <c r="F151" s="2">
        <v>45834</v>
      </c>
      <c r="G151" s="2"/>
      <c r="H151" s="3">
        <v>0</v>
      </c>
      <c r="I151" s="4">
        <v>42000</v>
      </c>
      <c r="J151" s="4">
        <v>0</v>
      </c>
      <c r="K151" t="s">
        <v>48</v>
      </c>
      <c r="L151" s="4">
        <f t="shared" si="6"/>
        <v>42000</v>
      </c>
      <c r="M151" t="str">
        <f t="shared" si="7"/>
        <v>Within Budget</v>
      </c>
      <c r="N151">
        <f t="shared" ca="1" si="8"/>
        <v>452</v>
      </c>
    </row>
    <row r="152" spans="1:14" x14ac:dyDescent="0.25">
      <c r="A152" t="s">
        <v>66</v>
      </c>
      <c r="B152" t="s">
        <v>119</v>
      </c>
      <c r="C152" t="s">
        <v>87</v>
      </c>
      <c r="D152" t="s">
        <v>36</v>
      </c>
      <c r="E152" s="2">
        <v>45588</v>
      </c>
      <c r="F152" s="2">
        <v>45602</v>
      </c>
      <c r="G152" s="2">
        <v>45620</v>
      </c>
      <c r="H152" s="3">
        <v>1</v>
      </c>
      <c r="I152" s="4">
        <v>31000</v>
      </c>
      <c r="J152" s="4">
        <v>37000</v>
      </c>
      <c r="K152" t="s">
        <v>15</v>
      </c>
      <c r="L152" s="4">
        <f t="shared" si="6"/>
        <v>-6000</v>
      </c>
      <c r="M152" t="str">
        <f t="shared" si="7"/>
        <v>Over Budget</v>
      </c>
      <c r="N152">
        <f t="shared" ca="1" si="8"/>
        <v>18</v>
      </c>
    </row>
    <row r="153" spans="1:14" x14ac:dyDescent="0.25">
      <c r="A153" t="s">
        <v>24</v>
      </c>
      <c r="B153" t="s">
        <v>119</v>
      </c>
      <c r="C153" t="s">
        <v>111</v>
      </c>
      <c r="D153" t="s">
        <v>36</v>
      </c>
      <c r="E153" s="2">
        <v>45360</v>
      </c>
      <c r="F153" s="2">
        <v>45376</v>
      </c>
      <c r="G153" s="2">
        <v>45395</v>
      </c>
      <c r="H153" s="3">
        <v>1</v>
      </c>
      <c r="I153" s="4">
        <v>38000</v>
      </c>
      <c r="J153" s="4">
        <v>42100</v>
      </c>
      <c r="K153" t="s">
        <v>15</v>
      </c>
      <c r="L153" s="4">
        <f t="shared" si="6"/>
        <v>-4100</v>
      </c>
      <c r="M153" t="str">
        <f t="shared" si="7"/>
        <v>Over Budget</v>
      </c>
      <c r="N153">
        <f t="shared" ca="1" si="8"/>
        <v>19</v>
      </c>
    </row>
    <row r="154" spans="1:14" x14ac:dyDescent="0.25">
      <c r="A154" t="s">
        <v>57</v>
      </c>
      <c r="B154" t="s">
        <v>114</v>
      </c>
      <c r="C154" t="s">
        <v>111</v>
      </c>
      <c r="D154" t="s">
        <v>23</v>
      </c>
      <c r="E154" s="2">
        <v>45804</v>
      </c>
      <c r="F154" s="2">
        <v>45835</v>
      </c>
      <c r="G154" s="2"/>
      <c r="H154" s="3">
        <v>0</v>
      </c>
      <c r="I154" s="4">
        <v>64000</v>
      </c>
      <c r="J154" s="4">
        <v>0</v>
      </c>
      <c r="K154" t="s">
        <v>48</v>
      </c>
      <c r="L154" s="4">
        <f t="shared" si="6"/>
        <v>64000</v>
      </c>
      <c r="M154" t="str">
        <f t="shared" si="7"/>
        <v>Within Budget</v>
      </c>
      <c r="N154">
        <f t="shared" ca="1" si="8"/>
        <v>451</v>
      </c>
    </row>
    <row r="155" spans="1:14" x14ac:dyDescent="0.25">
      <c r="A155" t="s">
        <v>50</v>
      </c>
      <c r="B155" t="s">
        <v>74</v>
      </c>
      <c r="C155" t="s">
        <v>28</v>
      </c>
      <c r="D155" t="s">
        <v>14</v>
      </c>
      <c r="E155" s="2">
        <v>45443</v>
      </c>
      <c r="F155" s="2">
        <v>45469</v>
      </c>
      <c r="G155" s="2">
        <v>45470</v>
      </c>
      <c r="H155" s="3">
        <v>1</v>
      </c>
      <c r="I155" s="4">
        <v>14000</v>
      </c>
      <c r="J155" s="4">
        <v>19400</v>
      </c>
      <c r="K155" t="s">
        <v>15</v>
      </c>
      <c r="L155" s="4">
        <f t="shared" si="6"/>
        <v>-5400</v>
      </c>
      <c r="M155" t="str">
        <f t="shared" si="7"/>
        <v>Over Budget</v>
      </c>
      <c r="N155">
        <f t="shared" ca="1" si="8"/>
        <v>1</v>
      </c>
    </row>
    <row r="156" spans="1:14" x14ac:dyDescent="0.25">
      <c r="A156" t="s">
        <v>50</v>
      </c>
      <c r="B156" t="s">
        <v>96</v>
      </c>
      <c r="C156" t="s">
        <v>35</v>
      </c>
      <c r="D156" t="s">
        <v>32</v>
      </c>
      <c r="E156" s="2">
        <v>45654</v>
      </c>
      <c r="F156" s="2">
        <v>45665</v>
      </c>
      <c r="G156" s="2">
        <v>45669</v>
      </c>
      <c r="H156" s="3">
        <v>1</v>
      </c>
      <c r="I156" s="4">
        <v>24000</v>
      </c>
      <c r="J156" s="4">
        <v>26900</v>
      </c>
      <c r="K156" t="s">
        <v>15</v>
      </c>
      <c r="L156" s="4">
        <f t="shared" si="6"/>
        <v>-2900</v>
      </c>
      <c r="M156" t="str">
        <f t="shared" si="7"/>
        <v>Over Budget</v>
      </c>
      <c r="N156">
        <f t="shared" ca="1" si="8"/>
        <v>4</v>
      </c>
    </row>
    <row r="157" spans="1:14" x14ac:dyDescent="0.25">
      <c r="A157" t="s">
        <v>62</v>
      </c>
      <c r="B157" t="s">
        <v>40</v>
      </c>
      <c r="C157" t="s">
        <v>106</v>
      </c>
      <c r="D157" t="s">
        <v>36</v>
      </c>
      <c r="E157" s="2">
        <v>45361</v>
      </c>
      <c r="F157" s="2">
        <v>45376</v>
      </c>
      <c r="G157" s="2">
        <v>45380</v>
      </c>
      <c r="H157" s="3">
        <v>1</v>
      </c>
      <c r="I157" s="4">
        <v>21000</v>
      </c>
      <c r="J157" s="4">
        <v>28400</v>
      </c>
      <c r="K157" t="s">
        <v>15</v>
      </c>
      <c r="L157" s="4">
        <f t="shared" si="6"/>
        <v>-7400</v>
      </c>
      <c r="M157" t="str">
        <f t="shared" si="7"/>
        <v>Over Budget</v>
      </c>
      <c r="N157">
        <f t="shared" ca="1" si="8"/>
        <v>4</v>
      </c>
    </row>
    <row r="158" spans="1:14" x14ac:dyDescent="0.25">
      <c r="A158" t="s">
        <v>104</v>
      </c>
      <c r="B158" t="s">
        <v>123</v>
      </c>
      <c r="C158" t="s">
        <v>22</v>
      </c>
      <c r="D158" t="s">
        <v>36</v>
      </c>
      <c r="E158" s="2">
        <v>45700</v>
      </c>
      <c r="F158" s="2">
        <v>45748</v>
      </c>
      <c r="G158" s="2"/>
      <c r="H158" s="3">
        <v>0</v>
      </c>
      <c r="I158" s="4">
        <v>42000</v>
      </c>
      <c r="J158" s="4">
        <v>0</v>
      </c>
      <c r="K158" t="s">
        <v>48</v>
      </c>
      <c r="L158" s="4">
        <f t="shared" si="6"/>
        <v>42000</v>
      </c>
      <c r="M158" t="str">
        <f t="shared" si="7"/>
        <v>Within Budget</v>
      </c>
      <c r="N158">
        <f t="shared" ca="1" si="8"/>
        <v>538</v>
      </c>
    </row>
    <row r="159" spans="1:14" x14ac:dyDescent="0.25">
      <c r="A159" t="s">
        <v>103</v>
      </c>
      <c r="B159" t="s">
        <v>40</v>
      </c>
      <c r="C159" t="s">
        <v>18</v>
      </c>
      <c r="D159" t="s">
        <v>14</v>
      </c>
      <c r="E159" s="2">
        <v>45524</v>
      </c>
      <c r="F159" s="2">
        <v>45557</v>
      </c>
      <c r="G159" s="2">
        <v>45602</v>
      </c>
      <c r="H159" s="3">
        <v>1</v>
      </c>
      <c r="I159" s="4">
        <v>94000</v>
      </c>
      <c r="J159" s="4">
        <v>91600</v>
      </c>
      <c r="K159" t="s">
        <v>15</v>
      </c>
      <c r="L159" s="4">
        <f t="shared" si="6"/>
        <v>2400</v>
      </c>
      <c r="M159" t="str">
        <f t="shared" si="7"/>
        <v>Within Budget</v>
      </c>
      <c r="N159">
        <f t="shared" ca="1" si="8"/>
        <v>45</v>
      </c>
    </row>
    <row r="160" spans="1:14" x14ac:dyDescent="0.25">
      <c r="A160" t="s">
        <v>37</v>
      </c>
      <c r="B160" t="s">
        <v>58</v>
      </c>
      <c r="C160" t="s">
        <v>26</v>
      </c>
      <c r="D160" t="s">
        <v>36</v>
      </c>
      <c r="E160" s="2">
        <v>45337</v>
      </c>
      <c r="F160" s="2">
        <v>45372</v>
      </c>
      <c r="G160" s="2">
        <v>45398</v>
      </c>
      <c r="H160" s="3">
        <v>1</v>
      </c>
      <c r="I160" s="4">
        <v>73000</v>
      </c>
      <c r="J160" s="4">
        <v>69400</v>
      </c>
      <c r="K160" t="s">
        <v>15</v>
      </c>
      <c r="L160" s="4">
        <f t="shared" si="6"/>
        <v>3600</v>
      </c>
      <c r="M160" t="str">
        <f t="shared" si="7"/>
        <v>Within Budget</v>
      </c>
      <c r="N160">
        <f t="shared" ca="1" si="8"/>
        <v>26</v>
      </c>
    </row>
    <row r="161" spans="1:14" x14ac:dyDescent="0.25">
      <c r="A161" t="s">
        <v>107</v>
      </c>
      <c r="B161" t="s">
        <v>114</v>
      </c>
      <c r="C161" t="s">
        <v>54</v>
      </c>
      <c r="D161" t="s">
        <v>14</v>
      </c>
      <c r="E161" s="2">
        <v>45527</v>
      </c>
      <c r="F161" s="2">
        <v>45538</v>
      </c>
      <c r="G161" s="2">
        <v>45532</v>
      </c>
      <c r="H161" s="3">
        <v>1</v>
      </c>
      <c r="I161" s="4">
        <v>37000</v>
      </c>
      <c r="J161" s="4">
        <v>37900</v>
      </c>
      <c r="K161" t="s">
        <v>15</v>
      </c>
      <c r="L161" s="4">
        <f t="shared" si="6"/>
        <v>-900</v>
      </c>
      <c r="M161" t="str">
        <f t="shared" si="7"/>
        <v>Over Budget</v>
      </c>
      <c r="N161">
        <f t="shared" ca="1" si="8"/>
        <v>-6</v>
      </c>
    </row>
    <row r="162" spans="1:14" x14ac:dyDescent="0.25">
      <c r="A162" t="s">
        <v>109</v>
      </c>
      <c r="B162" t="s">
        <v>86</v>
      </c>
      <c r="C162" t="s">
        <v>41</v>
      </c>
      <c r="D162" t="s">
        <v>36</v>
      </c>
      <c r="E162" s="2">
        <v>45362</v>
      </c>
      <c r="F162" s="2">
        <v>45376</v>
      </c>
      <c r="G162" s="2">
        <v>45367</v>
      </c>
      <c r="H162" s="3">
        <v>0</v>
      </c>
      <c r="I162" s="4">
        <v>48000</v>
      </c>
      <c r="J162" s="4">
        <v>18400</v>
      </c>
      <c r="K162" t="s">
        <v>27</v>
      </c>
      <c r="L162" s="4">
        <f t="shared" si="6"/>
        <v>29600</v>
      </c>
      <c r="M162" t="str">
        <f t="shared" si="7"/>
        <v>Within Budget</v>
      </c>
      <c r="N162">
        <f t="shared" ca="1" si="8"/>
        <v>-9</v>
      </c>
    </row>
    <row r="163" spans="1:14" x14ac:dyDescent="0.25">
      <c r="A163" t="s">
        <v>53</v>
      </c>
      <c r="B163" t="s">
        <v>43</v>
      </c>
      <c r="C163" t="s">
        <v>44</v>
      </c>
      <c r="D163" t="s">
        <v>36</v>
      </c>
      <c r="E163" s="2">
        <v>45591</v>
      </c>
      <c r="F163" s="2">
        <v>45621</v>
      </c>
      <c r="G163" s="2">
        <v>45641</v>
      </c>
      <c r="H163" s="3">
        <v>1</v>
      </c>
      <c r="I163" s="4">
        <v>15000</v>
      </c>
      <c r="J163" s="4">
        <v>13600</v>
      </c>
      <c r="K163" t="s">
        <v>15</v>
      </c>
      <c r="L163" s="4">
        <f t="shared" si="6"/>
        <v>1400</v>
      </c>
      <c r="M163" t="str">
        <f t="shared" si="7"/>
        <v>Within Budget</v>
      </c>
      <c r="N163">
        <f t="shared" ca="1" si="8"/>
        <v>20</v>
      </c>
    </row>
    <row r="164" spans="1:14" x14ac:dyDescent="0.25">
      <c r="A164" t="s">
        <v>99</v>
      </c>
      <c r="B164" t="s">
        <v>124</v>
      </c>
      <c r="C164" t="s">
        <v>87</v>
      </c>
      <c r="D164" t="s">
        <v>32</v>
      </c>
      <c r="E164" s="2">
        <v>45673</v>
      </c>
      <c r="F164" s="2">
        <v>45701</v>
      </c>
      <c r="G164" s="2"/>
      <c r="H164" s="3">
        <v>0.92</v>
      </c>
      <c r="I164" s="4">
        <v>49000</v>
      </c>
      <c r="J164" s="4">
        <v>49700</v>
      </c>
      <c r="K164" t="s">
        <v>65</v>
      </c>
      <c r="L164" s="4">
        <f t="shared" si="6"/>
        <v>-700</v>
      </c>
      <c r="M164" t="str">
        <f t="shared" si="7"/>
        <v>Over Budget</v>
      </c>
      <c r="N164">
        <f t="shared" ca="1" si="8"/>
        <v>585</v>
      </c>
    </row>
    <row r="165" spans="1:14" x14ac:dyDescent="0.25">
      <c r="A165" t="s">
        <v>24</v>
      </c>
      <c r="B165" t="s">
        <v>123</v>
      </c>
      <c r="C165" t="s">
        <v>13</v>
      </c>
      <c r="D165" t="s">
        <v>23</v>
      </c>
      <c r="E165" s="2">
        <v>45507</v>
      </c>
      <c r="F165" s="2">
        <v>45578</v>
      </c>
      <c r="G165" s="2">
        <v>45623</v>
      </c>
      <c r="H165" s="3">
        <v>1</v>
      </c>
      <c r="I165" s="4">
        <v>128000</v>
      </c>
      <c r="J165" s="4">
        <v>146700</v>
      </c>
      <c r="K165" t="s">
        <v>15</v>
      </c>
      <c r="L165" s="4">
        <f t="shared" si="6"/>
        <v>-18700</v>
      </c>
      <c r="M165" t="str">
        <f t="shared" si="7"/>
        <v>Over Budget</v>
      </c>
      <c r="N165">
        <f t="shared" ca="1" si="8"/>
        <v>45</v>
      </c>
    </row>
    <row r="166" spans="1:14" x14ac:dyDescent="0.25">
      <c r="A166" t="s">
        <v>77</v>
      </c>
      <c r="B166" t="s">
        <v>63</v>
      </c>
      <c r="C166" t="s">
        <v>111</v>
      </c>
      <c r="D166" t="s">
        <v>32</v>
      </c>
      <c r="E166" s="2">
        <v>45371</v>
      </c>
      <c r="F166" s="2">
        <v>45385</v>
      </c>
      <c r="G166" s="2">
        <v>45383</v>
      </c>
      <c r="H166" s="3">
        <v>1</v>
      </c>
      <c r="I166" s="4">
        <v>27000</v>
      </c>
      <c r="J166" s="4">
        <v>27300</v>
      </c>
      <c r="K166" t="s">
        <v>15</v>
      </c>
      <c r="L166" s="4">
        <f t="shared" si="6"/>
        <v>-300</v>
      </c>
      <c r="M166" t="str">
        <f t="shared" si="7"/>
        <v>Over Budget</v>
      </c>
      <c r="N166">
        <f t="shared" ca="1" si="8"/>
        <v>-2</v>
      </c>
    </row>
    <row r="167" spans="1:14" x14ac:dyDescent="0.25">
      <c r="A167" t="s">
        <v>107</v>
      </c>
      <c r="B167" t="s">
        <v>75</v>
      </c>
      <c r="C167" t="s">
        <v>112</v>
      </c>
      <c r="D167" t="s">
        <v>14</v>
      </c>
      <c r="E167" s="2">
        <v>45549</v>
      </c>
      <c r="F167" s="2">
        <v>45563</v>
      </c>
      <c r="G167" s="2">
        <v>45566</v>
      </c>
      <c r="H167" s="3">
        <v>1</v>
      </c>
      <c r="I167" s="4">
        <v>43000</v>
      </c>
      <c r="J167" s="4">
        <v>36800</v>
      </c>
      <c r="K167" t="s">
        <v>15</v>
      </c>
      <c r="L167" s="4">
        <f t="shared" si="6"/>
        <v>6200</v>
      </c>
      <c r="M167" t="str">
        <f t="shared" si="7"/>
        <v>Within Budget</v>
      </c>
      <c r="N167">
        <f t="shared" ca="1" si="8"/>
        <v>3</v>
      </c>
    </row>
    <row r="168" spans="1:14" x14ac:dyDescent="0.25">
      <c r="A168" t="s">
        <v>118</v>
      </c>
      <c r="B168" t="s">
        <v>21</v>
      </c>
      <c r="C168" t="s">
        <v>97</v>
      </c>
      <c r="D168" t="s">
        <v>36</v>
      </c>
      <c r="E168" s="2">
        <v>45376</v>
      </c>
      <c r="F168" s="2">
        <v>45405</v>
      </c>
      <c r="G168" s="2">
        <v>45424</v>
      </c>
      <c r="H168" s="3">
        <v>1</v>
      </c>
      <c r="I168" s="4">
        <v>31000</v>
      </c>
      <c r="J168" s="4">
        <v>37100</v>
      </c>
      <c r="K168" t="s">
        <v>15</v>
      </c>
      <c r="L168" s="4">
        <f t="shared" si="6"/>
        <v>-6100</v>
      </c>
      <c r="M168" t="str">
        <f t="shared" si="7"/>
        <v>Over Budget</v>
      </c>
      <c r="N168">
        <f t="shared" ca="1" si="8"/>
        <v>19</v>
      </c>
    </row>
    <row r="169" spans="1:14" x14ac:dyDescent="0.25">
      <c r="A169" t="s">
        <v>11</v>
      </c>
      <c r="B169" t="s">
        <v>90</v>
      </c>
      <c r="C169" t="s">
        <v>61</v>
      </c>
      <c r="D169" t="s">
        <v>36</v>
      </c>
      <c r="E169" s="2">
        <v>45335</v>
      </c>
      <c r="F169" s="2">
        <v>45370</v>
      </c>
      <c r="G169" s="2"/>
      <c r="H169" s="3">
        <v>0.2</v>
      </c>
      <c r="I169" s="4">
        <v>46000</v>
      </c>
      <c r="J169" s="4">
        <v>51200</v>
      </c>
      <c r="K169" t="s">
        <v>19</v>
      </c>
      <c r="L169" s="4">
        <f t="shared" si="6"/>
        <v>-5200</v>
      </c>
      <c r="M169" t="str">
        <f t="shared" si="7"/>
        <v>Over Budget</v>
      </c>
      <c r="N169">
        <f t="shared" ca="1" si="8"/>
        <v>916</v>
      </c>
    </row>
    <row r="170" spans="1:14" x14ac:dyDescent="0.25">
      <c r="A170" t="s">
        <v>62</v>
      </c>
      <c r="B170" t="s">
        <v>86</v>
      </c>
      <c r="C170" t="s">
        <v>67</v>
      </c>
      <c r="D170" t="s">
        <v>14</v>
      </c>
      <c r="E170" s="2">
        <v>45427</v>
      </c>
      <c r="F170" s="2">
        <v>45462</v>
      </c>
      <c r="G170" s="2">
        <v>45472</v>
      </c>
      <c r="H170" s="3">
        <v>1</v>
      </c>
      <c r="I170" s="4">
        <v>32000</v>
      </c>
      <c r="J170" s="4">
        <v>42800</v>
      </c>
      <c r="K170" t="s">
        <v>15</v>
      </c>
      <c r="L170" s="4">
        <f t="shared" si="6"/>
        <v>-10800</v>
      </c>
      <c r="M170" t="str">
        <f t="shared" si="7"/>
        <v>Over Budget</v>
      </c>
      <c r="N170">
        <f t="shared" ca="1" si="8"/>
        <v>10</v>
      </c>
    </row>
    <row r="171" spans="1:14" x14ac:dyDescent="0.25">
      <c r="A171" t="s">
        <v>24</v>
      </c>
      <c r="B171" t="s">
        <v>17</v>
      </c>
      <c r="C171" t="s">
        <v>52</v>
      </c>
      <c r="D171" t="s">
        <v>14</v>
      </c>
      <c r="E171" s="2">
        <v>45584</v>
      </c>
      <c r="F171" s="2">
        <v>45616</v>
      </c>
      <c r="G171" s="2">
        <v>45592</v>
      </c>
      <c r="H171" s="3">
        <v>0.2</v>
      </c>
      <c r="I171" s="4">
        <v>58000</v>
      </c>
      <c r="J171" s="4">
        <v>4400</v>
      </c>
      <c r="K171" t="s">
        <v>27</v>
      </c>
      <c r="L171" s="4">
        <f t="shared" si="6"/>
        <v>53600</v>
      </c>
      <c r="M171" t="str">
        <f t="shared" si="7"/>
        <v>Within Budget</v>
      </c>
      <c r="N171">
        <f t="shared" ca="1" si="8"/>
        <v>-24</v>
      </c>
    </row>
    <row r="172" spans="1:14" x14ac:dyDescent="0.25">
      <c r="A172" t="s">
        <v>29</v>
      </c>
      <c r="B172" t="s">
        <v>76</v>
      </c>
      <c r="C172" t="s">
        <v>87</v>
      </c>
      <c r="D172" t="s">
        <v>23</v>
      </c>
      <c r="E172" s="2">
        <v>45748</v>
      </c>
      <c r="F172" s="2">
        <v>45770</v>
      </c>
      <c r="G172" s="2"/>
      <c r="H172" s="3">
        <v>0.72</v>
      </c>
      <c r="I172" s="4">
        <v>44000</v>
      </c>
      <c r="J172" s="4">
        <v>26200</v>
      </c>
      <c r="K172" t="s">
        <v>65</v>
      </c>
      <c r="L172" s="4">
        <f t="shared" si="6"/>
        <v>17800</v>
      </c>
      <c r="M172" t="str">
        <f t="shared" si="7"/>
        <v>Within Budget</v>
      </c>
      <c r="N172">
        <f t="shared" ca="1" si="8"/>
        <v>516</v>
      </c>
    </row>
    <row r="173" spans="1:14" x14ac:dyDescent="0.25">
      <c r="A173" t="s">
        <v>120</v>
      </c>
      <c r="B173" t="s">
        <v>110</v>
      </c>
      <c r="C173" t="s">
        <v>87</v>
      </c>
      <c r="D173" t="s">
        <v>14</v>
      </c>
      <c r="E173" s="2">
        <v>45544</v>
      </c>
      <c r="F173" s="2">
        <v>45575</v>
      </c>
      <c r="G173" s="2">
        <v>45566</v>
      </c>
      <c r="H173" s="3">
        <v>1</v>
      </c>
      <c r="I173" s="4">
        <v>75000</v>
      </c>
      <c r="J173" s="4">
        <v>91900</v>
      </c>
      <c r="K173" t="s">
        <v>15</v>
      </c>
      <c r="L173" s="4">
        <f t="shared" si="6"/>
        <v>-16900</v>
      </c>
      <c r="M173" t="str">
        <f t="shared" si="7"/>
        <v>Over Budget</v>
      </c>
      <c r="N173">
        <f t="shared" ca="1" si="8"/>
        <v>-9</v>
      </c>
    </row>
    <row r="174" spans="1:14" x14ac:dyDescent="0.25">
      <c r="A174" t="s">
        <v>83</v>
      </c>
      <c r="B174" t="s">
        <v>85</v>
      </c>
      <c r="C174" t="s">
        <v>61</v>
      </c>
      <c r="D174" t="s">
        <v>36</v>
      </c>
      <c r="E174" s="2">
        <v>45405</v>
      </c>
      <c r="F174" s="2">
        <v>45413</v>
      </c>
      <c r="G174" s="2">
        <v>45414</v>
      </c>
      <c r="H174" s="3">
        <v>1</v>
      </c>
      <c r="I174" s="4">
        <v>8000</v>
      </c>
      <c r="J174" s="4">
        <v>7500</v>
      </c>
      <c r="K174" t="s">
        <v>15</v>
      </c>
      <c r="L174" s="4">
        <f t="shared" si="6"/>
        <v>500</v>
      </c>
      <c r="M174" t="str">
        <f t="shared" si="7"/>
        <v>Within Budget</v>
      </c>
      <c r="N174">
        <f t="shared" ca="1" si="8"/>
        <v>1</v>
      </c>
    </row>
    <row r="175" spans="1:14" x14ac:dyDescent="0.25">
      <c r="A175" t="s">
        <v>109</v>
      </c>
      <c r="B175" t="s">
        <v>108</v>
      </c>
      <c r="C175" t="s">
        <v>111</v>
      </c>
      <c r="D175" t="s">
        <v>36</v>
      </c>
      <c r="E175" s="2">
        <v>45311</v>
      </c>
      <c r="F175" s="2">
        <v>45321</v>
      </c>
      <c r="G175" s="2">
        <v>45325</v>
      </c>
      <c r="H175" s="3">
        <v>1</v>
      </c>
      <c r="I175" s="4">
        <v>14000</v>
      </c>
      <c r="J175" s="4">
        <v>12600</v>
      </c>
      <c r="K175" t="s">
        <v>15</v>
      </c>
      <c r="L175" s="4">
        <f t="shared" si="6"/>
        <v>1400</v>
      </c>
      <c r="M175" t="str">
        <f t="shared" si="7"/>
        <v>Within Budget</v>
      </c>
      <c r="N175">
        <f t="shared" ca="1" si="8"/>
        <v>4</v>
      </c>
    </row>
    <row r="176" spans="1:14" x14ac:dyDescent="0.25">
      <c r="A176" t="s">
        <v>45</v>
      </c>
      <c r="B176" t="s">
        <v>116</v>
      </c>
      <c r="C176" t="s">
        <v>39</v>
      </c>
      <c r="D176" t="s">
        <v>23</v>
      </c>
      <c r="E176" s="2">
        <v>45417</v>
      </c>
      <c r="F176" s="2">
        <v>45449</v>
      </c>
      <c r="G176" s="2"/>
      <c r="H176" s="3">
        <v>0.35</v>
      </c>
      <c r="I176" s="4">
        <v>33000</v>
      </c>
      <c r="J176" s="4">
        <v>29200</v>
      </c>
      <c r="K176" t="s">
        <v>19</v>
      </c>
      <c r="L176" s="4">
        <f t="shared" si="6"/>
        <v>3800</v>
      </c>
      <c r="M176" t="str">
        <f t="shared" si="7"/>
        <v>Within Budget</v>
      </c>
      <c r="N176">
        <f t="shared" ca="1" si="8"/>
        <v>837</v>
      </c>
    </row>
    <row r="177" spans="1:14" x14ac:dyDescent="0.25">
      <c r="A177" t="s">
        <v>62</v>
      </c>
      <c r="B177" t="s">
        <v>70</v>
      </c>
      <c r="C177" t="s">
        <v>60</v>
      </c>
      <c r="D177" t="s">
        <v>36</v>
      </c>
      <c r="E177" s="2">
        <v>45616</v>
      </c>
      <c r="F177" s="2">
        <v>45626</v>
      </c>
      <c r="G177" s="2">
        <v>45618</v>
      </c>
      <c r="H177" s="3">
        <v>0.3</v>
      </c>
      <c r="I177" s="4">
        <v>9000</v>
      </c>
      <c r="J177" s="4">
        <v>600</v>
      </c>
      <c r="K177" t="s">
        <v>27</v>
      </c>
      <c r="L177" s="4">
        <f t="shared" si="6"/>
        <v>8400</v>
      </c>
      <c r="M177" t="str">
        <f t="shared" si="7"/>
        <v>Within Budget</v>
      </c>
      <c r="N177">
        <f t="shared" ca="1" si="8"/>
        <v>-8</v>
      </c>
    </row>
    <row r="178" spans="1:14" x14ac:dyDescent="0.25">
      <c r="A178" t="s">
        <v>33</v>
      </c>
      <c r="B178" t="s">
        <v>63</v>
      </c>
      <c r="C178" t="s">
        <v>18</v>
      </c>
      <c r="D178" t="s">
        <v>23</v>
      </c>
      <c r="E178" s="2">
        <v>45618</v>
      </c>
      <c r="F178" s="2">
        <v>45633</v>
      </c>
      <c r="G178" s="2">
        <v>45633</v>
      </c>
      <c r="H178" s="3">
        <v>1</v>
      </c>
      <c r="I178" s="4">
        <v>24000</v>
      </c>
      <c r="J178" s="4">
        <v>23000</v>
      </c>
      <c r="K178" t="s">
        <v>15</v>
      </c>
      <c r="L178" s="4">
        <f t="shared" si="6"/>
        <v>1000</v>
      </c>
      <c r="M178" t="str">
        <f t="shared" si="7"/>
        <v>Within Budget</v>
      </c>
      <c r="N178">
        <f t="shared" ca="1" si="8"/>
        <v>0</v>
      </c>
    </row>
    <row r="179" spans="1:14" x14ac:dyDescent="0.25">
      <c r="A179" t="s">
        <v>104</v>
      </c>
      <c r="B179" t="s">
        <v>74</v>
      </c>
      <c r="C179" t="s">
        <v>28</v>
      </c>
      <c r="D179" t="s">
        <v>36</v>
      </c>
      <c r="E179" s="2">
        <v>45460</v>
      </c>
      <c r="F179" s="2">
        <v>45471</v>
      </c>
      <c r="G179" s="2">
        <v>45511</v>
      </c>
      <c r="H179" s="3">
        <v>1</v>
      </c>
      <c r="I179" s="4">
        <v>29000</v>
      </c>
      <c r="J179" s="4">
        <v>34700</v>
      </c>
      <c r="K179" t="s">
        <v>15</v>
      </c>
      <c r="L179" s="4">
        <f t="shared" si="6"/>
        <v>-5700</v>
      </c>
      <c r="M179" t="str">
        <f t="shared" si="7"/>
        <v>Over Budget</v>
      </c>
      <c r="N179">
        <f t="shared" ca="1" si="8"/>
        <v>40</v>
      </c>
    </row>
    <row r="180" spans="1:14" x14ac:dyDescent="0.25">
      <c r="A180" t="s">
        <v>16</v>
      </c>
      <c r="B180" t="s">
        <v>25</v>
      </c>
      <c r="C180" t="s">
        <v>106</v>
      </c>
      <c r="D180" t="s">
        <v>36</v>
      </c>
      <c r="E180" s="2">
        <v>45740</v>
      </c>
      <c r="F180" s="2">
        <v>45757</v>
      </c>
      <c r="G180" s="2"/>
      <c r="H180" s="3">
        <v>0</v>
      </c>
      <c r="I180" s="4">
        <v>34000</v>
      </c>
      <c r="J180" s="4">
        <v>0</v>
      </c>
      <c r="K180" t="s">
        <v>48</v>
      </c>
      <c r="L180" s="4">
        <f t="shared" si="6"/>
        <v>34000</v>
      </c>
      <c r="M180" t="str">
        <f t="shared" si="7"/>
        <v>Within Budget</v>
      </c>
      <c r="N180">
        <f t="shared" ca="1" si="8"/>
        <v>529</v>
      </c>
    </row>
    <row r="181" spans="1:14" x14ac:dyDescent="0.25">
      <c r="A181" t="s">
        <v>37</v>
      </c>
      <c r="B181" t="s">
        <v>69</v>
      </c>
      <c r="C181" t="s">
        <v>112</v>
      </c>
      <c r="D181" t="s">
        <v>23</v>
      </c>
      <c r="E181" s="2">
        <v>45762</v>
      </c>
      <c r="F181" s="2">
        <v>45785</v>
      </c>
      <c r="G181" s="2"/>
      <c r="H181" s="3">
        <v>0.48</v>
      </c>
      <c r="I181" s="4">
        <v>33000</v>
      </c>
      <c r="J181" s="4">
        <v>16100</v>
      </c>
      <c r="K181" t="s">
        <v>65</v>
      </c>
      <c r="L181" s="4">
        <f t="shared" si="6"/>
        <v>16900</v>
      </c>
      <c r="M181" t="str">
        <f t="shared" si="7"/>
        <v>Within Budget</v>
      </c>
      <c r="N181">
        <f t="shared" ca="1" si="8"/>
        <v>501</v>
      </c>
    </row>
    <row r="182" spans="1:14" x14ac:dyDescent="0.25">
      <c r="A182" t="s">
        <v>16</v>
      </c>
      <c r="B182" t="s">
        <v>85</v>
      </c>
      <c r="C182" t="s">
        <v>105</v>
      </c>
      <c r="D182" t="s">
        <v>23</v>
      </c>
      <c r="E182" s="2">
        <v>45774</v>
      </c>
      <c r="F182" s="2">
        <v>45803</v>
      </c>
      <c r="G182" s="2"/>
      <c r="H182" s="3">
        <v>0.16</v>
      </c>
      <c r="I182" s="4">
        <v>30000</v>
      </c>
      <c r="J182" s="4">
        <v>4200</v>
      </c>
      <c r="K182" t="s">
        <v>65</v>
      </c>
      <c r="L182" s="4">
        <f t="shared" si="6"/>
        <v>25800</v>
      </c>
      <c r="M182" t="str">
        <f t="shared" si="7"/>
        <v>Within Budget</v>
      </c>
      <c r="N182">
        <f t="shared" ca="1" si="8"/>
        <v>483</v>
      </c>
    </row>
    <row r="183" spans="1:14" x14ac:dyDescent="0.25">
      <c r="A183" t="s">
        <v>107</v>
      </c>
      <c r="B183" t="s">
        <v>82</v>
      </c>
      <c r="C183" t="s">
        <v>113</v>
      </c>
      <c r="D183" t="s">
        <v>23</v>
      </c>
      <c r="E183" s="2">
        <v>45454</v>
      </c>
      <c r="F183" s="2">
        <v>45478</v>
      </c>
      <c r="G183" s="2">
        <v>45496</v>
      </c>
      <c r="H183" s="3">
        <v>1</v>
      </c>
      <c r="I183" s="4">
        <v>37000</v>
      </c>
      <c r="J183" s="4">
        <v>35600</v>
      </c>
      <c r="K183" t="s">
        <v>15</v>
      </c>
      <c r="L183" s="4">
        <f t="shared" si="6"/>
        <v>1400</v>
      </c>
      <c r="M183" t="str">
        <f t="shared" si="7"/>
        <v>Within Budget</v>
      </c>
      <c r="N183">
        <f t="shared" ca="1" si="8"/>
        <v>18</v>
      </c>
    </row>
    <row r="184" spans="1:14" x14ac:dyDescent="0.25">
      <c r="A184" t="s">
        <v>99</v>
      </c>
      <c r="B184" t="s">
        <v>69</v>
      </c>
      <c r="C184" t="s">
        <v>31</v>
      </c>
      <c r="D184" t="s">
        <v>32</v>
      </c>
      <c r="E184" s="2">
        <v>45457</v>
      </c>
      <c r="F184" s="2">
        <v>45484</v>
      </c>
      <c r="G184" s="2">
        <v>45488</v>
      </c>
      <c r="H184" s="3">
        <v>1</v>
      </c>
      <c r="I184" s="4">
        <v>50000</v>
      </c>
      <c r="J184" s="4">
        <v>51100</v>
      </c>
      <c r="K184" t="s">
        <v>15</v>
      </c>
      <c r="L184" s="4">
        <f t="shared" si="6"/>
        <v>-1100</v>
      </c>
      <c r="M184" t="str">
        <f t="shared" si="7"/>
        <v>Over Budget</v>
      </c>
      <c r="N184">
        <f t="shared" ca="1" si="8"/>
        <v>4</v>
      </c>
    </row>
    <row r="185" spans="1:14" x14ac:dyDescent="0.25">
      <c r="A185" t="s">
        <v>109</v>
      </c>
      <c r="B185" t="s">
        <v>124</v>
      </c>
      <c r="C185" t="s">
        <v>18</v>
      </c>
      <c r="D185" t="s">
        <v>23</v>
      </c>
      <c r="E185" s="2">
        <v>45580</v>
      </c>
      <c r="F185" s="2">
        <v>45605</v>
      </c>
      <c r="G185" s="2">
        <v>45647</v>
      </c>
      <c r="H185" s="3">
        <v>1</v>
      </c>
      <c r="I185" s="4">
        <v>46000</v>
      </c>
      <c r="J185" s="4">
        <v>56200</v>
      </c>
      <c r="K185" t="s">
        <v>15</v>
      </c>
      <c r="L185" s="4">
        <f t="shared" si="6"/>
        <v>-10200</v>
      </c>
      <c r="M185" t="str">
        <f t="shared" si="7"/>
        <v>Over Budget</v>
      </c>
      <c r="N185">
        <f t="shared" ca="1" si="8"/>
        <v>42</v>
      </c>
    </row>
    <row r="186" spans="1:14" x14ac:dyDescent="0.25">
      <c r="A186" t="s">
        <v>109</v>
      </c>
      <c r="B186" t="s">
        <v>119</v>
      </c>
      <c r="C186" t="s">
        <v>67</v>
      </c>
      <c r="D186" t="s">
        <v>14</v>
      </c>
      <c r="E186" s="2">
        <v>45351</v>
      </c>
      <c r="F186" s="2">
        <v>45381</v>
      </c>
      <c r="G186" s="2">
        <v>45375</v>
      </c>
      <c r="H186" s="3">
        <v>1</v>
      </c>
      <c r="I186" s="4">
        <v>38000</v>
      </c>
      <c r="J186" s="4">
        <v>44800</v>
      </c>
      <c r="K186" t="s">
        <v>15</v>
      </c>
      <c r="L186" s="4">
        <f t="shared" si="6"/>
        <v>-6800</v>
      </c>
      <c r="M186" t="str">
        <f t="shared" si="7"/>
        <v>Over Budget</v>
      </c>
      <c r="N186">
        <f t="shared" ca="1" si="8"/>
        <v>-6</v>
      </c>
    </row>
    <row r="187" spans="1:14" x14ac:dyDescent="0.25">
      <c r="A187" t="s">
        <v>104</v>
      </c>
      <c r="B187" t="s">
        <v>63</v>
      </c>
      <c r="C187" t="s">
        <v>67</v>
      </c>
      <c r="D187" t="s">
        <v>14</v>
      </c>
      <c r="E187" s="2">
        <v>45646</v>
      </c>
      <c r="F187" s="2">
        <v>45658</v>
      </c>
      <c r="G187" s="2">
        <v>45666</v>
      </c>
      <c r="H187" s="3">
        <v>1</v>
      </c>
      <c r="I187" s="4">
        <v>15000</v>
      </c>
      <c r="J187" s="4">
        <v>20900</v>
      </c>
      <c r="K187" t="s">
        <v>15</v>
      </c>
      <c r="L187" s="4">
        <f t="shared" si="6"/>
        <v>-5900</v>
      </c>
      <c r="M187" t="str">
        <f t="shared" si="7"/>
        <v>Over Budget</v>
      </c>
      <c r="N187">
        <f t="shared" ca="1" si="8"/>
        <v>8</v>
      </c>
    </row>
    <row r="188" spans="1:14" x14ac:dyDescent="0.25">
      <c r="A188" t="s">
        <v>121</v>
      </c>
      <c r="B188" t="s">
        <v>80</v>
      </c>
      <c r="C188" t="s">
        <v>52</v>
      </c>
      <c r="D188" t="s">
        <v>32</v>
      </c>
      <c r="E188" s="2">
        <v>45510</v>
      </c>
      <c r="F188" s="2">
        <v>45516</v>
      </c>
      <c r="G188" s="2">
        <v>45560</v>
      </c>
      <c r="H188" s="3">
        <v>1</v>
      </c>
      <c r="I188" s="4">
        <v>9000</v>
      </c>
      <c r="J188" s="4">
        <v>8100</v>
      </c>
      <c r="K188" t="s">
        <v>15</v>
      </c>
      <c r="L188" s="4">
        <f t="shared" si="6"/>
        <v>900</v>
      </c>
      <c r="M188" t="str">
        <f t="shared" si="7"/>
        <v>Within Budget</v>
      </c>
      <c r="N188">
        <f t="shared" ca="1" si="8"/>
        <v>44</v>
      </c>
    </row>
    <row r="189" spans="1:14" x14ac:dyDescent="0.25">
      <c r="A189" t="s">
        <v>45</v>
      </c>
      <c r="B189" t="s">
        <v>51</v>
      </c>
      <c r="C189" t="s">
        <v>13</v>
      </c>
      <c r="D189" t="s">
        <v>14</v>
      </c>
      <c r="E189" s="2">
        <v>45614</v>
      </c>
      <c r="F189" s="2">
        <v>45630</v>
      </c>
      <c r="G189" s="2">
        <v>45648</v>
      </c>
      <c r="H189" s="3">
        <v>1</v>
      </c>
      <c r="I189" s="4">
        <v>22000</v>
      </c>
      <c r="J189" s="4">
        <v>30600</v>
      </c>
      <c r="K189" t="s">
        <v>15</v>
      </c>
      <c r="L189" s="4">
        <f t="shared" si="6"/>
        <v>-8600</v>
      </c>
      <c r="M189" t="str">
        <f t="shared" si="7"/>
        <v>Over Budget</v>
      </c>
      <c r="N189">
        <f t="shared" ca="1" si="8"/>
        <v>18</v>
      </c>
    </row>
    <row r="190" spans="1:14" x14ac:dyDescent="0.25">
      <c r="A190" t="s">
        <v>83</v>
      </c>
      <c r="B190" t="s">
        <v>85</v>
      </c>
      <c r="C190" t="s">
        <v>44</v>
      </c>
      <c r="D190" t="s">
        <v>23</v>
      </c>
      <c r="E190" s="2">
        <v>45343</v>
      </c>
      <c r="F190" s="2">
        <v>45350</v>
      </c>
      <c r="G190" s="2">
        <v>45374</v>
      </c>
      <c r="H190" s="3">
        <v>1</v>
      </c>
      <c r="I190" s="4">
        <v>11000</v>
      </c>
      <c r="J190" s="4">
        <v>11900</v>
      </c>
      <c r="K190" t="s">
        <v>15</v>
      </c>
      <c r="L190" s="4">
        <f t="shared" si="6"/>
        <v>-900</v>
      </c>
      <c r="M190" t="str">
        <f t="shared" si="7"/>
        <v>Over Budget</v>
      </c>
      <c r="N190">
        <f t="shared" ca="1" si="8"/>
        <v>24</v>
      </c>
    </row>
    <row r="191" spans="1:14" x14ac:dyDescent="0.25">
      <c r="A191" t="s">
        <v>20</v>
      </c>
      <c r="B191" t="s">
        <v>93</v>
      </c>
      <c r="C191" t="s">
        <v>13</v>
      </c>
      <c r="D191" t="s">
        <v>14</v>
      </c>
      <c r="E191" s="2">
        <v>45804</v>
      </c>
      <c r="F191" s="2">
        <v>45814</v>
      </c>
      <c r="G191" s="2"/>
      <c r="H191" s="3">
        <v>0</v>
      </c>
      <c r="I191" s="4">
        <v>5000</v>
      </c>
      <c r="J191" s="4">
        <v>0</v>
      </c>
      <c r="K191" t="s">
        <v>48</v>
      </c>
      <c r="L191" s="4">
        <f t="shared" si="6"/>
        <v>5000</v>
      </c>
      <c r="M191" t="str">
        <f t="shared" si="7"/>
        <v>Within Budget</v>
      </c>
      <c r="N191">
        <f t="shared" ca="1" si="8"/>
        <v>472</v>
      </c>
    </row>
    <row r="192" spans="1:14" x14ac:dyDescent="0.25">
      <c r="A192" t="s">
        <v>91</v>
      </c>
      <c r="B192" t="s">
        <v>17</v>
      </c>
      <c r="C192" t="s">
        <v>100</v>
      </c>
      <c r="D192" t="s">
        <v>14</v>
      </c>
      <c r="E192" s="2">
        <v>45347</v>
      </c>
      <c r="F192" s="2">
        <v>45376</v>
      </c>
      <c r="G192" s="2"/>
      <c r="H192" s="3">
        <v>0.62</v>
      </c>
      <c r="I192" s="4">
        <v>47000</v>
      </c>
      <c r="J192" s="4">
        <v>27900</v>
      </c>
      <c r="K192" t="s">
        <v>19</v>
      </c>
      <c r="L192" s="4">
        <f t="shared" si="6"/>
        <v>19100</v>
      </c>
      <c r="M192" t="str">
        <f t="shared" si="7"/>
        <v>Within Budget</v>
      </c>
      <c r="N192">
        <f t="shared" ca="1" si="8"/>
        <v>910</v>
      </c>
    </row>
    <row r="193" spans="1:14" x14ac:dyDescent="0.25">
      <c r="A193" t="s">
        <v>62</v>
      </c>
      <c r="B193" t="s">
        <v>58</v>
      </c>
      <c r="C193" t="s">
        <v>28</v>
      </c>
      <c r="D193" t="s">
        <v>36</v>
      </c>
      <c r="E193" s="2">
        <v>45553</v>
      </c>
      <c r="F193" s="2">
        <v>45562</v>
      </c>
      <c r="G193" s="2"/>
      <c r="H193" s="3">
        <v>0.56000000000000005</v>
      </c>
      <c r="I193" s="4">
        <v>12000</v>
      </c>
      <c r="J193" s="4">
        <v>8700</v>
      </c>
      <c r="K193" t="s">
        <v>19</v>
      </c>
      <c r="L193" s="4">
        <f t="shared" si="6"/>
        <v>3300</v>
      </c>
      <c r="M193" t="str">
        <f t="shared" si="7"/>
        <v>Within Budget</v>
      </c>
      <c r="N193">
        <f t="shared" ca="1" si="8"/>
        <v>724</v>
      </c>
    </row>
    <row r="194" spans="1:14" x14ac:dyDescent="0.25">
      <c r="A194" t="s">
        <v>45</v>
      </c>
      <c r="B194" t="s">
        <v>114</v>
      </c>
      <c r="C194" t="s">
        <v>87</v>
      </c>
      <c r="D194" t="s">
        <v>36</v>
      </c>
      <c r="E194" s="2">
        <v>45312</v>
      </c>
      <c r="F194" s="2">
        <v>45321</v>
      </c>
      <c r="G194" s="2"/>
      <c r="H194" s="3">
        <v>0.63</v>
      </c>
      <c r="I194" s="4">
        <v>7000</v>
      </c>
      <c r="J194" s="4">
        <v>5900</v>
      </c>
      <c r="K194" t="s">
        <v>19</v>
      </c>
      <c r="L194" s="4">
        <f t="shared" si="6"/>
        <v>1100</v>
      </c>
      <c r="M194" t="str">
        <f t="shared" si="7"/>
        <v>Within Budget</v>
      </c>
      <c r="N194">
        <f t="shared" ca="1" si="8"/>
        <v>965</v>
      </c>
    </row>
    <row r="195" spans="1:14" x14ac:dyDescent="0.25">
      <c r="A195" t="s">
        <v>50</v>
      </c>
      <c r="B195" t="s">
        <v>73</v>
      </c>
      <c r="C195" t="s">
        <v>35</v>
      </c>
      <c r="D195" t="s">
        <v>36</v>
      </c>
      <c r="E195" s="2">
        <v>45579</v>
      </c>
      <c r="F195" s="2">
        <v>45617</v>
      </c>
      <c r="G195" s="2">
        <v>45625</v>
      </c>
      <c r="H195" s="3">
        <v>1</v>
      </c>
      <c r="I195" s="4">
        <v>42000</v>
      </c>
      <c r="J195" s="4">
        <v>44400</v>
      </c>
      <c r="K195" t="s">
        <v>15</v>
      </c>
      <c r="L195" s="4">
        <f t="shared" ref="L195:L258" si="9">I195-J195</f>
        <v>-2400</v>
      </c>
      <c r="M195" t="str">
        <f t="shared" ref="M195:M258" si="10">IF(L195&lt;0, "Over Budget", "Within Budget")</f>
        <v>Over Budget</v>
      </c>
      <c r="N195">
        <f t="shared" ref="N195:N258" ca="1" si="11">IF(G195="",TODAY()-F195,G195-F195)</f>
        <v>8</v>
      </c>
    </row>
    <row r="196" spans="1:14" x14ac:dyDescent="0.25">
      <c r="A196" t="s">
        <v>20</v>
      </c>
      <c r="B196" t="s">
        <v>95</v>
      </c>
      <c r="C196" t="s">
        <v>47</v>
      </c>
      <c r="D196" t="s">
        <v>32</v>
      </c>
      <c r="E196" s="2">
        <v>45737</v>
      </c>
      <c r="F196" s="2">
        <v>45749</v>
      </c>
      <c r="G196" s="2"/>
      <c r="H196" s="3">
        <v>0</v>
      </c>
      <c r="I196" s="4">
        <v>20000</v>
      </c>
      <c r="J196" s="4">
        <v>0</v>
      </c>
      <c r="K196" t="s">
        <v>48</v>
      </c>
      <c r="L196" s="4">
        <f t="shared" si="9"/>
        <v>20000</v>
      </c>
      <c r="M196" t="str">
        <f t="shared" si="10"/>
        <v>Within Budget</v>
      </c>
      <c r="N196">
        <f t="shared" ca="1" si="11"/>
        <v>537</v>
      </c>
    </row>
    <row r="197" spans="1:14" x14ac:dyDescent="0.25">
      <c r="A197" t="s">
        <v>20</v>
      </c>
      <c r="B197" t="s">
        <v>25</v>
      </c>
      <c r="C197" t="s">
        <v>39</v>
      </c>
      <c r="D197" t="s">
        <v>23</v>
      </c>
      <c r="E197" s="2">
        <v>45611</v>
      </c>
      <c r="F197" s="2">
        <v>45643</v>
      </c>
      <c r="G197" s="2">
        <v>45643</v>
      </c>
      <c r="H197" s="3">
        <v>1</v>
      </c>
      <c r="I197" s="4">
        <v>79000</v>
      </c>
      <c r="J197" s="4">
        <v>105900</v>
      </c>
      <c r="K197" t="s">
        <v>15</v>
      </c>
      <c r="L197" s="4">
        <f t="shared" si="9"/>
        <v>-26900</v>
      </c>
      <c r="M197" t="str">
        <f t="shared" si="10"/>
        <v>Over Budget</v>
      </c>
      <c r="N197">
        <f t="shared" ca="1" si="11"/>
        <v>0</v>
      </c>
    </row>
    <row r="198" spans="1:14" x14ac:dyDescent="0.25">
      <c r="A198" t="s">
        <v>121</v>
      </c>
      <c r="B198" t="s">
        <v>114</v>
      </c>
      <c r="C198" t="s">
        <v>113</v>
      </c>
      <c r="D198" t="s">
        <v>36</v>
      </c>
      <c r="E198" s="2">
        <v>45675</v>
      </c>
      <c r="F198" s="2">
        <v>45697</v>
      </c>
      <c r="G198" s="2">
        <v>45715</v>
      </c>
      <c r="H198" s="3">
        <v>1</v>
      </c>
      <c r="I198" s="4">
        <v>49000</v>
      </c>
      <c r="J198" s="4">
        <v>51700</v>
      </c>
      <c r="K198" t="s">
        <v>15</v>
      </c>
      <c r="L198" s="4">
        <f t="shared" si="9"/>
        <v>-2700</v>
      </c>
      <c r="M198" t="str">
        <f t="shared" si="10"/>
        <v>Over Budget</v>
      </c>
      <c r="N198">
        <f t="shared" ca="1" si="11"/>
        <v>18</v>
      </c>
    </row>
    <row r="199" spans="1:14" x14ac:dyDescent="0.25">
      <c r="A199" t="s">
        <v>103</v>
      </c>
      <c r="B199" t="s">
        <v>17</v>
      </c>
      <c r="C199" t="s">
        <v>35</v>
      </c>
      <c r="D199" t="s">
        <v>23</v>
      </c>
      <c r="E199" s="2">
        <v>45724</v>
      </c>
      <c r="F199" s="2">
        <v>45754</v>
      </c>
      <c r="G199" s="2"/>
      <c r="H199" s="3">
        <v>0.14000000000000001</v>
      </c>
      <c r="I199" s="4">
        <v>40000</v>
      </c>
      <c r="J199" s="4">
        <v>6200</v>
      </c>
      <c r="K199" t="s">
        <v>65</v>
      </c>
      <c r="L199" s="4">
        <f t="shared" si="9"/>
        <v>33800</v>
      </c>
      <c r="M199" t="str">
        <f t="shared" si="10"/>
        <v>Within Budget</v>
      </c>
      <c r="N199">
        <f t="shared" ca="1" si="11"/>
        <v>532</v>
      </c>
    </row>
    <row r="200" spans="1:14" x14ac:dyDescent="0.25">
      <c r="A200" t="s">
        <v>37</v>
      </c>
      <c r="B200" t="s">
        <v>30</v>
      </c>
      <c r="C200" t="s">
        <v>22</v>
      </c>
      <c r="D200" t="s">
        <v>36</v>
      </c>
      <c r="E200" s="2">
        <v>45728</v>
      </c>
      <c r="F200" s="2">
        <v>45745</v>
      </c>
      <c r="G200" s="2"/>
      <c r="H200" s="3">
        <v>0</v>
      </c>
      <c r="I200" s="4">
        <v>14000</v>
      </c>
      <c r="J200" s="4">
        <v>0</v>
      </c>
      <c r="K200" t="s">
        <v>48</v>
      </c>
      <c r="L200" s="4">
        <f t="shared" si="9"/>
        <v>14000</v>
      </c>
      <c r="M200" t="str">
        <f t="shared" si="10"/>
        <v>Within Budget</v>
      </c>
      <c r="N200">
        <f t="shared" ca="1" si="11"/>
        <v>541</v>
      </c>
    </row>
    <row r="201" spans="1:14" x14ac:dyDescent="0.25">
      <c r="A201" t="s">
        <v>104</v>
      </c>
      <c r="B201" t="s">
        <v>75</v>
      </c>
      <c r="C201" t="s">
        <v>60</v>
      </c>
      <c r="D201" t="s">
        <v>32</v>
      </c>
      <c r="E201" s="2">
        <v>45681</v>
      </c>
      <c r="F201" s="2">
        <v>45699</v>
      </c>
      <c r="G201" s="2"/>
      <c r="H201" s="3">
        <v>0.23</v>
      </c>
      <c r="I201" s="4">
        <v>38000</v>
      </c>
      <c r="J201" s="4">
        <v>29900</v>
      </c>
      <c r="K201" t="s">
        <v>19</v>
      </c>
      <c r="L201" s="4">
        <f t="shared" si="9"/>
        <v>8100</v>
      </c>
      <c r="M201" t="str">
        <f t="shared" si="10"/>
        <v>Within Budget</v>
      </c>
      <c r="N201">
        <f t="shared" ca="1" si="11"/>
        <v>587</v>
      </c>
    </row>
    <row r="202" spans="1:14" x14ac:dyDescent="0.25">
      <c r="A202" t="s">
        <v>24</v>
      </c>
      <c r="B202" t="s">
        <v>64</v>
      </c>
      <c r="C202" t="s">
        <v>54</v>
      </c>
      <c r="D202" t="s">
        <v>36</v>
      </c>
      <c r="E202" s="2">
        <v>45786</v>
      </c>
      <c r="F202" s="2">
        <v>45809</v>
      </c>
      <c r="G202" s="2"/>
      <c r="H202" s="3">
        <v>0</v>
      </c>
      <c r="I202" s="4">
        <v>40000</v>
      </c>
      <c r="J202" s="4">
        <v>0</v>
      </c>
      <c r="K202" t="s">
        <v>48</v>
      </c>
      <c r="L202" s="4">
        <f t="shared" si="9"/>
        <v>40000</v>
      </c>
      <c r="M202" t="str">
        <f t="shared" si="10"/>
        <v>Within Budget</v>
      </c>
      <c r="N202">
        <f t="shared" ca="1" si="11"/>
        <v>477</v>
      </c>
    </row>
    <row r="203" spans="1:14" x14ac:dyDescent="0.25">
      <c r="A203" t="s">
        <v>50</v>
      </c>
      <c r="B203" t="s">
        <v>34</v>
      </c>
      <c r="C203" t="s">
        <v>67</v>
      </c>
      <c r="D203" t="s">
        <v>32</v>
      </c>
      <c r="E203" s="2">
        <v>45486</v>
      </c>
      <c r="F203" s="2">
        <v>45511</v>
      </c>
      <c r="G203" s="2">
        <v>45537</v>
      </c>
      <c r="H203" s="3">
        <v>1</v>
      </c>
      <c r="I203" s="4">
        <v>15000</v>
      </c>
      <c r="J203" s="4">
        <v>14600</v>
      </c>
      <c r="K203" t="s">
        <v>15</v>
      </c>
      <c r="L203" s="4">
        <f t="shared" si="9"/>
        <v>400</v>
      </c>
      <c r="M203" t="str">
        <f t="shared" si="10"/>
        <v>Within Budget</v>
      </c>
      <c r="N203">
        <f t="shared" ca="1" si="11"/>
        <v>26</v>
      </c>
    </row>
    <row r="204" spans="1:14" x14ac:dyDescent="0.25">
      <c r="A204" t="s">
        <v>50</v>
      </c>
      <c r="B204" t="s">
        <v>21</v>
      </c>
      <c r="C204" t="s">
        <v>28</v>
      </c>
      <c r="D204" t="s">
        <v>36</v>
      </c>
      <c r="E204" s="2">
        <v>45674</v>
      </c>
      <c r="F204" s="2">
        <v>45694</v>
      </c>
      <c r="G204" s="2"/>
      <c r="H204" s="3">
        <v>0.25</v>
      </c>
      <c r="I204" s="4">
        <v>43000</v>
      </c>
      <c r="J204" s="4">
        <v>11700</v>
      </c>
      <c r="K204" t="s">
        <v>65</v>
      </c>
      <c r="L204" s="4">
        <f t="shared" si="9"/>
        <v>31300</v>
      </c>
      <c r="M204" t="str">
        <f t="shared" si="10"/>
        <v>Within Budget</v>
      </c>
      <c r="N204">
        <f t="shared" ca="1" si="11"/>
        <v>592</v>
      </c>
    </row>
    <row r="205" spans="1:14" x14ac:dyDescent="0.25">
      <c r="A205" t="s">
        <v>57</v>
      </c>
      <c r="B205" t="s">
        <v>70</v>
      </c>
      <c r="C205" t="s">
        <v>13</v>
      </c>
      <c r="D205" t="s">
        <v>36</v>
      </c>
      <c r="E205" s="2">
        <v>45446</v>
      </c>
      <c r="F205" s="2">
        <v>45456</v>
      </c>
      <c r="G205" s="2">
        <v>45468</v>
      </c>
      <c r="H205" s="3">
        <v>1</v>
      </c>
      <c r="I205" s="4">
        <v>15000</v>
      </c>
      <c r="J205" s="4">
        <v>13800</v>
      </c>
      <c r="K205" t="s">
        <v>15</v>
      </c>
      <c r="L205" s="4">
        <f t="shared" si="9"/>
        <v>1200</v>
      </c>
      <c r="M205" t="str">
        <f t="shared" si="10"/>
        <v>Within Budget</v>
      </c>
      <c r="N205">
        <f t="shared" ca="1" si="11"/>
        <v>12</v>
      </c>
    </row>
    <row r="206" spans="1:14" x14ac:dyDescent="0.25">
      <c r="A206" t="s">
        <v>57</v>
      </c>
      <c r="B206" t="s">
        <v>25</v>
      </c>
      <c r="C206" t="s">
        <v>22</v>
      </c>
      <c r="D206" t="s">
        <v>14</v>
      </c>
      <c r="E206" s="2">
        <v>45462</v>
      </c>
      <c r="F206" s="2">
        <v>45477</v>
      </c>
      <c r="G206" s="2">
        <v>45478</v>
      </c>
      <c r="H206" s="3">
        <v>1</v>
      </c>
      <c r="I206" s="4">
        <v>10000</v>
      </c>
      <c r="J206" s="4">
        <v>12300</v>
      </c>
      <c r="K206" t="s">
        <v>15</v>
      </c>
      <c r="L206" s="4">
        <f t="shared" si="9"/>
        <v>-2300</v>
      </c>
      <c r="M206" t="str">
        <f t="shared" si="10"/>
        <v>Over Budget</v>
      </c>
      <c r="N206">
        <f t="shared" ca="1" si="11"/>
        <v>1</v>
      </c>
    </row>
    <row r="207" spans="1:14" x14ac:dyDescent="0.25">
      <c r="A207" t="s">
        <v>72</v>
      </c>
      <c r="B207" t="s">
        <v>58</v>
      </c>
      <c r="C207" t="s">
        <v>105</v>
      </c>
      <c r="D207" t="s">
        <v>14</v>
      </c>
      <c r="E207" s="2">
        <v>45325</v>
      </c>
      <c r="F207" s="2">
        <v>45358</v>
      </c>
      <c r="G207" s="2">
        <v>45359</v>
      </c>
      <c r="H207" s="3">
        <v>1</v>
      </c>
      <c r="I207" s="4">
        <v>95000</v>
      </c>
      <c r="J207" s="4">
        <v>96300</v>
      </c>
      <c r="K207" t="s">
        <v>15</v>
      </c>
      <c r="L207" s="4">
        <f t="shared" si="9"/>
        <v>-1300</v>
      </c>
      <c r="M207" t="str">
        <f t="shared" si="10"/>
        <v>Over Budget</v>
      </c>
      <c r="N207">
        <f t="shared" ca="1" si="11"/>
        <v>1</v>
      </c>
    </row>
    <row r="208" spans="1:14" x14ac:dyDescent="0.25">
      <c r="A208" t="s">
        <v>24</v>
      </c>
      <c r="B208" t="s">
        <v>38</v>
      </c>
      <c r="C208" t="s">
        <v>18</v>
      </c>
      <c r="D208" t="s">
        <v>36</v>
      </c>
      <c r="E208" s="2">
        <v>45719</v>
      </c>
      <c r="F208" s="2">
        <v>45742</v>
      </c>
      <c r="G208" s="2"/>
      <c r="H208" s="3">
        <v>0</v>
      </c>
      <c r="I208" s="4">
        <v>46000</v>
      </c>
      <c r="J208" s="4">
        <v>0</v>
      </c>
      <c r="K208" t="s">
        <v>48</v>
      </c>
      <c r="L208" s="4">
        <f t="shared" si="9"/>
        <v>46000</v>
      </c>
      <c r="M208" t="str">
        <f t="shared" si="10"/>
        <v>Within Budget</v>
      </c>
      <c r="N208">
        <f t="shared" ca="1" si="11"/>
        <v>544</v>
      </c>
    </row>
    <row r="209" spans="1:14" x14ac:dyDescent="0.25">
      <c r="A209" t="s">
        <v>91</v>
      </c>
      <c r="B209" t="s">
        <v>96</v>
      </c>
      <c r="C209" t="s">
        <v>106</v>
      </c>
      <c r="D209" t="s">
        <v>23</v>
      </c>
      <c r="E209" s="2">
        <v>45485</v>
      </c>
      <c r="F209" s="2">
        <v>45502</v>
      </c>
      <c r="G209" s="2">
        <v>45504</v>
      </c>
      <c r="H209" s="3">
        <v>1</v>
      </c>
      <c r="I209" s="4">
        <v>21000</v>
      </c>
      <c r="J209" s="4">
        <v>25600</v>
      </c>
      <c r="K209" t="s">
        <v>15</v>
      </c>
      <c r="L209" s="4">
        <f t="shared" si="9"/>
        <v>-4600</v>
      </c>
      <c r="M209" t="str">
        <f t="shared" si="10"/>
        <v>Over Budget</v>
      </c>
      <c r="N209">
        <f t="shared" ca="1" si="11"/>
        <v>2</v>
      </c>
    </row>
    <row r="210" spans="1:14" x14ac:dyDescent="0.25">
      <c r="A210" t="s">
        <v>99</v>
      </c>
      <c r="B210" t="s">
        <v>95</v>
      </c>
      <c r="C210" t="s">
        <v>44</v>
      </c>
      <c r="D210" t="s">
        <v>14</v>
      </c>
      <c r="E210" s="2">
        <v>45761</v>
      </c>
      <c r="F210" s="2">
        <v>45787</v>
      </c>
      <c r="G210" s="2"/>
      <c r="H210" s="3">
        <v>0.1</v>
      </c>
      <c r="I210" s="4">
        <v>43000</v>
      </c>
      <c r="J210" s="4">
        <v>4300</v>
      </c>
      <c r="K210" t="s">
        <v>65</v>
      </c>
      <c r="L210" s="4">
        <f t="shared" si="9"/>
        <v>38700</v>
      </c>
      <c r="M210" t="str">
        <f t="shared" si="10"/>
        <v>Within Budget</v>
      </c>
      <c r="N210">
        <f t="shared" ca="1" si="11"/>
        <v>499</v>
      </c>
    </row>
    <row r="211" spans="1:14" x14ac:dyDescent="0.25">
      <c r="A211" t="s">
        <v>120</v>
      </c>
      <c r="B211" t="s">
        <v>40</v>
      </c>
      <c r="C211" t="s">
        <v>100</v>
      </c>
      <c r="D211" t="s">
        <v>14</v>
      </c>
      <c r="E211" s="2">
        <v>45308</v>
      </c>
      <c r="F211" s="2">
        <v>45322</v>
      </c>
      <c r="G211" s="2">
        <v>45313</v>
      </c>
      <c r="H211" s="3">
        <v>0.15</v>
      </c>
      <c r="I211" s="4">
        <v>48000</v>
      </c>
      <c r="J211" s="4">
        <v>10200</v>
      </c>
      <c r="K211" t="s">
        <v>27</v>
      </c>
      <c r="L211" s="4">
        <f t="shared" si="9"/>
        <v>37800</v>
      </c>
      <c r="M211" t="str">
        <f t="shared" si="10"/>
        <v>Within Budget</v>
      </c>
      <c r="N211">
        <f t="shared" ca="1" si="11"/>
        <v>-9</v>
      </c>
    </row>
    <row r="212" spans="1:14" x14ac:dyDescent="0.25">
      <c r="A212" t="s">
        <v>29</v>
      </c>
      <c r="B212" t="s">
        <v>114</v>
      </c>
      <c r="C212" t="s">
        <v>39</v>
      </c>
      <c r="D212" t="s">
        <v>14</v>
      </c>
      <c r="E212" s="2">
        <v>45571</v>
      </c>
      <c r="F212" s="2">
        <v>45586</v>
      </c>
      <c r="G212" s="2">
        <v>45572</v>
      </c>
      <c r="H212" s="3">
        <v>0</v>
      </c>
      <c r="I212" s="4">
        <v>31000</v>
      </c>
      <c r="J212" s="4">
        <v>10600</v>
      </c>
      <c r="K212" t="s">
        <v>27</v>
      </c>
      <c r="L212" s="4">
        <f t="shared" si="9"/>
        <v>20400</v>
      </c>
      <c r="M212" t="str">
        <f t="shared" si="10"/>
        <v>Within Budget</v>
      </c>
      <c r="N212">
        <f t="shared" ca="1" si="11"/>
        <v>-14</v>
      </c>
    </row>
    <row r="213" spans="1:14" x14ac:dyDescent="0.25">
      <c r="A213" t="s">
        <v>120</v>
      </c>
      <c r="B213" t="s">
        <v>69</v>
      </c>
      <c r="C213" t="s">
        <v>67</v>
      </c>
      <c r="D213" t="s">
        <v>32</v>
      </c>
      <c r="E213" s="2">
        <v>45557</v>
      </c>
      <c r="F213" s="2">
        <v>45592</v>
      </c>
      <c r="G213" s="2">
        <v>45629</v>
      </c>
      <c r="H213" s="3">
        <v>1</v>
      </c>
      <c r="I213" s="4">
        <v>89000</v>
      </c>
      <c r="J213" s="4">
        <v>101700</v>
      </c>
      <c r="K213" t="s">
        <v>15</v>
      </c>
      <c r="L213" s="4">
        <f t="shared" si="9"/>
        <v>-12700</v>
      </c>
      <c r="M213" t="str">
        <f t="shared" si="10"/>
        <v>Over Budget</v>
      </c>
      <c r="N213">
        <f t="shared" ca="1" si="11"/>
        <v>37</v>
      </c>
    </row>
    <row r="214" spans="1:14" x14ac:dyDescent="0.25">
      <c r="A214" t="s">
        <v>91</v>
      </c>
      <c r="B214" t="s">
        <v>21</v>
      </c>
      <c r="C214" t="s">
        <v>111</v>
      </c>
      <c r="D214" t="s">
        <v>14</v>
      </c>
      <c r="E214" s="2">
        <v>45402</v>
      </c>
      <c r="F214" s="2">
        <v>45434</v>
      </c>
      <c r="G214" s="2">
        <v>45410</v>
      </c>
      <c r="H214" s="3">
        <v>0</v>
      </c>
      <c r="I214" s="4">
        <v>67000</v>
      </c>
      <c r="J214" s="4">
        <v>9100</v>
      </c>
      <c r="K214" t="s">
        <v>27</v>
      </c>
      <c r="L214" s="4">
        <f t="shared" si="9"/>
        <v>57900</v>
      </c>
      <c r="M214" t="str">
        <f t="shared" si="10"/>
        <v>Within Budget</v>
      </c>
      <c r="N214">
        <f t="shared" ca="1" si="11"/>
        <v>-24</v>
      </c>
    </row>
    <row r="215" spans="1:14" x14ac:dyDescent="0.25">
      <c r="A215" t="s">
        <v>16</v>
      </c>
      <c r="B215" t="s">
        <v>123</v>
      </c>
      <c r="C215" t="s">
        <v>71</v>
      </c>
      <c r="D215" t="s">
        <v>14</v>
      </c>
      <c r="E215" s="2">
        <v>45504</v>
      </c>
      <c r="F215" s="2">
        <v>45594</v>
      </c>
      <c r="G215" s="2">
        <v>45635</v>
      </c>
      <c r="H215" s="3">
        <v>1</v>
      </c>
      <c r="I215" s="4">
        <v>175000</v>
      </c>
      <c r="J215" s="4">
        <v>148800</v>
      </c>
      <c r="K215" t="s">
        <v>15</v>
      </c>
      <c r="L215" s="4">
        <f t="shared" si="9"/>
        <v>26200</v>
      </c>
      <c r="M215" t="str">
        <f t="shared" si="10"/>
        <v>Within Budget</v>
      </c>
      <c r="N215">
        <f t="shared" ca="1" si="11"/>
        <v>41</v>
      </c>
    </row>
    <row r="216" spans="1:14" x14ac:dyDescent="0.25">
      <c r="A216" t="s">
        <v>66</v>
      </c>
      <c r="B216" t="s">
        <v>110</v>
      </c>
      <c r="C216" t="s">
        <v>67</v>
      </c>
      <c r="D216" t="s">
        <v>23</v>
      </c>
      <c r="E216" s="2">
        <v>45351</v>
      </c>
      <c r="F216" s="2">
        <v>45367</v>
      </c>
      <c r="G216" s="2">
        <v>45355</v>
      </c>
      <c r="H216" s="3">
        <v>0.1</v>
      </c>
      <c r="I216" s="4">
        <v>13000</v>
      </c>
      <c r="J216" s="4">
        <v>2900</v>
      </c>
      <c r="K216" t="s">
        <v>27</v>
      </c>
      <c r="L216" s="4">
        <f t="shared" si="9"/>
        <v>10100</v>
      </c>
      <c r="M216" t="str">
        <f t="shared" si="10"/>
        <v>Within Budget</v>
      </c>
      <c r="N216">
        <f t="shared" ca="1" si="11"/>
        <v>-12</v>
      </c>
    </row>
    <row r="217" spans="1:14" x14ac:dyDescent="0.25">
      <c r="A217" t="s">
        <v>81</v>
      </c>
      <c r="B217" t="s">
        <v>93</v>
      </c>
      <c r="C217" t="s">
        <v>22</v>
      </c>
      <c r="D217" t="s">
        <v>23</v>
      </c>
      <c r="E217" s="2">
        <v>45352</v>
      </c>
      <c r="F217" s="2">
        <v>45368</v>
      </c>
      <c r="G217" s="2"/>
      <c r="H217" s="3">
        <v>0.55000000000000004</v>
      </c>
      <c r="I217" s="4">
        <v>31000</v>
      </c>
      <c r="J217" s="4">
        <v>19100</v>
      </c>
      <c r="K217" t="s">
        <v>19</v>
      </c>
      <c r="L217" s="4">
        <f t="shared" si="9"/>
        <v>11900</v>
      </c>
      <c r="M217" t="str">
        <f t="shared" si="10"/>
        <v>Within Budget</v>
      </c>
      <c r="N217">
        <f t="shared" ca="1" si="11"/>
        <v>918</v>
      </c>
    </row>
    <row r="218" spans="1:14" x14ac:dyDescent="0.25">
      <c r="A218" t="s">
        <v>83</v>
      </c>
      <c r="B218" t="s">
        <v>88</v>
      </c>
      <c r="C218" t="s">
        <v>41</v>
      </c>
      <c r="D218" t="s">
        <v>36</v>
      </c>
      <c r="E218" s="2">
        <v>45636</v>
      </c>
      <c r="F218" s="2">
        <v>45652</v>
      </c>
      <c r="G218" s="2">
        <v>45638</v>
      </c>
      <c r="H218" s="3">
        <v>0.25</v>
      </c>
      <c r="I218" s="4">
        <v>23000</v>
      </c>
      <c r="J218" s="4">
        <v>8200</v>
      </c>
      <c r="K218" t="s">
        <v>27</v>
      </c>
      <c r="L218" s="4">
        <f t="shared" si="9"/>
        <v>14800</v>
      </c>
      <c r="M218" t="str">
        <f t="shared" si="10"/>
        <v>Within Budget</v>
      </c>
      <c r="N218">
        <f t="shared" ca="1" si="11"/>
        <v>-14</v>
      </c>
    </row>
    <row r="219" spans="1:14" x14ac:dyDescent="0.25">
      <c r="A219" t="s">
        <v>81</v>
      </c>
      <c r="B219" t="s">
        <v>125</v>
      </c>
      <c r="C219" t="s">
        <v>97</v>
      </c>
      <c r="D219" t="s">
        <v>36</v>
      </c>
      <c r="E219" s="2">
        <v>45830</v>
      </c>
      <c r="F219" s="2">
        <v>45843</v>
      </c>
      <c r="G219" s="2"/>
      <c r="H219" s="3">
        <v>0</v>
      </c>
      <c r="I219" s="4">
        <v>22000</v>
      </c>
      <c r="J219" s="4">
        <v>0</v>
      </c>
      <c r="K219" t="s">
        <v>48</v>
      </c>
      <c r="L219" s="4">
        <f t="shared" si="9"/>
        <v>22000</v>
      </c>
      <c r="M219" t="str">
        <f t="shared" si="10"/>
        <v>Within Budget</v>
      </c>
      <c r="N219">
        <f t="shared" ca="1" si="11"/>
        <v>443</v>
      </c>
    </row>
    <row r="220" spans="1:14" x14ac:dyDescent="0.25">
      <c r="A220" t="s">
        <v>16</v>
      </c>
      <c r="B220" t="s">
        <v>64</v>
      </c>
      <c r="C220" t="s">
        <v>60</v>
      </c>
      <c r="D220" t="s">
        <v>32</v>
      </c>
      <c r="E220" s="2">
        <v>45815</v>
      </c>
      <c r="F220" s="2">
        <v>45825</v>
      </c>
      <c r="G220" s="2"/>
      <c r="H220" s="3">
        <v>0</v>
      </c>
      <c r="I220" s="4">
        <v>13000</v>
      </c>
      <c r="J220" s="4">
        <v>0</v>
      </c>
      <c r="K220" t="s">
        <v>48</v>
      </c>
      <c r="L220" s="4">
        <f t="shared" si="9"/>
        <v>13000</v>
      </c>
      <c r="M220" t="str">
        <f t="shared" si="10"/>
        <v>Within Budget</v>
      </c>
      <c r="N220">
        <f t="shared" ca="1" si="11"/>
        <v>461</v>
      </c>
    </row>
    <row r="221" spans="1:14" x14ac:dyDescent="0.25">
      <c r="A221" t="s">
        <v>91</v>
      </c>
      <c r="B221" t="s">
        <v>86</v>
      </c>
      <c r="C221" t="s">
        <v>87</v>
      </c>
      <c r="D221" t="s">
        <v>36</v>
      </c>
      <c r="E221" s="2">
        <v>45645</v>
      </c>
      <c r="F221" s="2">
        <v>45670</v>
      </c>
      <c r="G221" s="2"/>
      <c r="H221" s="3">
        <v>0.43</v>
      </c>
      <c r="I221" s="4">
        <v>24000</v>
      </c>
      <c r="J221" s="4">
        <v>10200</v>
      </c>
      <c r="K221" t="s">
        <v>94</v>
      </c>
      <c r="L221" s="4">
        <f t="shared" si="9"/>
        <v>13800</v>
      </c>
      <c r="M221" t="str">
        <f t="shared" si="10"/>
        <v>Within Budget</v>
      </c>
      <c r="N221">
        <f t="shared" ca="1" si="11"/>
        <v>616</v>
      </c>
    </row>
    <row r="222" spans="1:14" x14ac:dyDescent="0.25">
      <c r="A222" t="s">
        <v>66</v>
      </c>
      <c r="B222" t="s">
        <v>116</v>
      </c>
      <c r="C222" t="s">
        <v>41</v>
      </c>
      <c r="D222" t="s">
        <v>36</v>
      </c>
      <c r="E222" s="2">
        <v>45672</v>
      </c>
      <c r="F222" s="2">
        <v>45690</v>
      </c>
      <c r="G222" s="2">
        <v>45710</v>
      </c>
      <c r="H222" s="3">
        <v>1</v>
      </c>
      <c r="I222" s="4">
        <v>13000</v>
      </c>
      <c r="J222" s="4">
        <v>11200</v>
      </c>
      <c r="K222" t="s">
        <v>15</v>
      </c>
      <c r="L222" s="4">
        <f t="shared" si="9"/>
        <v>1800</v>
      </c>
      <c r="M222" t="str">
        <f t="shared" si="10"/>
        <v>Within Budget</v>
      </c>
      <c r="N222">
        <f t="shared" ca="1" si="11"/>
        <v>20</v>
      </c>
    </row>
    <row r="223" spans="1:14" x14ac:dyDescent="0.25">
      <c r="A223" t="s">
        <v>79</v>
      </c>
      <c r="B223" t="s">
        <v>88</v>
      </c>
      <c r="C223" t="s">
        <v>113</v>
      </c>
      <c r="D223" t="s">
        <v>32</v>
      </c>
      <c r="E223" s="2">
        <v>45833</v>
      </c>
      <c r="F223" s="2">
        <v>45861</v>
      </c>
      <c r="G223" s="2"/>
      <c r="H223" s="3">
        <v>0</v>
      </c>
      <c r="I223" s="4">
        <v>37000</v>
      </c>
      <c r="J223" s="4">
        <v>0</v>
      </c>
      <c r="K223" t="s">
        <v>48</v>
      </c>
      <c r="L223" s="4">
        <f t="shared" si="9"/>
        <v>37000</v>
      </c>
      <c r="M223" t="str">
        <f t="shared" si="10"/>
        <v>Within Budget</v>
      </c>
      <c r="N223">
        <f t="shared" ca="1" si="11"/>
        <v>425</v>
      </c>
    </row>
    <row r="224" spans="1:14" x14ac:dyDescent="0.25">
      <c r="A224" t="s">
        <v>91</v>
      </c>
      <c r="B224" t="s">
        <v>123</v>
      </c>
      <c r="C224" t="s">
        <v>60</v>
      </c>
      <c r="D224" t="s">
        <v>36</v>
      </c>
      <c r="E224" s="2">
        <v>45623</v>
      </c>
      <c r="F224" s="2">
        <v>45703</v>
      </c>
      <c r="G224" s="2"/>
      <c r="H224" s="3">
        <v>0.69</v>
      </c>
      <c r="I224" s="4">
        <v>107000</v>
      </c>
      <c r="J224" s="4">
        <v>22200</v>
      </c>
      <c r="K224" t="s">
        <v>94</v>
      </c>
      <c r="L224" s="4">
        <f t="shared" si="9"/>
        <v>84800</v>
      </c>
      <c r="M224" t="str">
        <f t="shared" si="10"/>
        <v>Within Budget</v>
      </c>
      <c r="N224">
        <f t="shared" ca="1" si="11"/>
        <v>583</v>
      </c>
    </row>
    <row r="225" spans="1:14" x14ac:dyDescent="0.25">
      <c r="A225" t="s">
        <v>83</v>
      </c>
      <c r="B225" t="s">
        <v>17</v>
      </c>
      <c r="C225" t="s">
        <v>18</v>
      </c>
      <c r="D225" t="s">
        <v>14</v>
      </c>
      <c r="E225" s="2">
        <v>45718</v>
      </c>
      <c r="F225" s="2">
        <v>45753</v>
      </c>
      <c r="G225" s="2"/>
      <c r="H225" s="3">
        <v>0.23</v>
      </c>
      <c r="I225" s="4">
        <v>73000</v>
      </c>
      <c r="J225" s="4">
        <v>20100</v>
      </c>
      <c r="K225" t="s">
        <v>65</v>
      </c>
      <c r="L225" s="4">
        <f t="shared" si="9"/>
        <v>52900</v>
      </c>
      <c r="M225" t="str">
        <f t="shared" si="10"/>
        <v>Within Budget</v>
      </c>
      <c r="N225">
        <f t="shared" ca="1" si="11"/>
        <v>533</v>
      </c>
    </row>
    <row r="226" spans="1:14" x14ac:dyDescent="0.25">
      <c r="A226" t="s">
        <v>104</v>
      </c>
      <c r="B226" t="s">
        <v>124</v>
      </c>
      <c r="C226" t="s">
        <v>71</v>
      </c>
      <c r="D226" t="s">
        <v>36</v>
      </c>
      <c r="E226" s="2">
        <v>45309</v>
      </c>
      <c r="F226" s="2">
        <v>45329</v>
      </c>
      <c r="G226" s="2">
        <v>45339</v>
      </c>
      <c r="H226" s="3">
        <v>1</v>
      </c>
      <c r="I226" s="4">
        <v>32000</v>
      </c>
      <c r="J226" s="4">
        <v>40100</v>
      </c>
      <c r="K226" t="s">
        <v>15</v>
      </c>
      <c r="L226" s="4">
        <f t="shared" si="9"/>
        <v>-8100</v>
      </c>
      <c r="M226" t="str">
        <f t="shared" si="10"/>
        <v>Over Budget</v>
      </c>
      <c r="N226">
        <f t="shared" ca="1" si="11"/>
        <v>10</v>
      </c>
    </row>
    <row r="227" spans="1:14" x14ac:dyDescent="0.25">
      <c r="A227" t="s">
        <v>103</v>
      </c>
      <c r="B227" t="s">
        <v>93</v>
      </c>
      <c r="C227" t="s">
        <v>47</v>
      </c>
      <c r="D227" t="s">
        <v>14</v>
      </c>
      <c r="E227" s="2">
        <v>45705</v>
      </c>
      <c r="F227" s="2">
        <v>45728</v>
      </c>
      <c r="G227" s="2"/>
      <c r="H227" s="3">
        <v>0.7</v>
      </c>
      <c r="I227" s="4">
        <v>36000</v>
      </c>
      <c r="J227" s="4">
        <v>21200</v>
      </c>
      <c r="K227" t="s">
        <v>65</v>
      </c>
      <c r="L227" s="4">
        <f t="shared" si="9"/>
        <v>14800</v>
      </c>
      <c r="M227" t="str">
        <f t="shared" si="10"/>
        <v>Within Budget</v>
      </c>
      <c r="N227">
        <f t="shared" ca="1" si="11"/>
        <v>558</v>
      </c>
    </row>
    <row r="228" spans="1:14" x14ac:dyDescent="0.25">
      <c r="A228" t="s">
        <v>72</v>
      </c>
      <c r="B228" t="s">
        <v>51</v>
      </c>
      <c r="C228" t="s">
        <v>100</v>
      </c>
      <c r="D228" t="s">
        <v>23</v>
      </c>
      <c r="E228" s="2">
        <v>45539</v>
      </c>
      <c r="F228" s="2">
        <v>45561</v>
      </c>
      <c r="G228" s="2">
        <v>45543</v>
      </c>
      <c r="H228" s="3">
        <v>0.3</v>
      </c>
      <c r="I228" s="4">
        <v>23000</v>
      </c>
      <c r="J228" s="4">
        <v>6600</v>
      </c>
      <c r="K228" t="s">
        <v>27</v>
      </c>
      <c r="L228" s="4">
        <f t="shared" si="9"/>
        <v>16400</v>
      </c>
      <c r="M228" t="str">
        <f t="shared" si="10"/>
        <v>Within Budget</v>
      </c>
      <c r="N228">
        <f t="shared" ca="1" si="11"/>
        <v>-18</v>
      </c>
    </row>
    <row r="229" spans="1:14" x14ac:dyDescent="0.25">
      <c r="A229" t="s">
        <v>55</v>
      </c>
      <c r="B229" t="s">
        <v>49</v>
      </c>
      <c r="C229" t="s">
        <v>67</v>
      </c>
      <c r="D229" t="s">
        <v>14</v>
      </c>
      <c r="E229" s="2">
        <v>45454</v>
      </c>
      <c r="F229" s="2">
        <v>45488</v>
      </c>
      <c r="G229" s="2">
        <v>45492</v>
      </c>
      <c r="H229" s="3">
        <v>1</v>
      </c>
      <c r="I229" s="4">
        <v>47000</v>
      </c>
      <c r="J229" s="4">
        <v>41100</v>
      </c>
      <c r="K229" t="s">
        <v>15</v>
      </c>
      <c r="L229" s="4">
        <f t="shared" si="9"/>
        <v>5900</v>
      </c>
      <c r="M229" t="str">
        <f t="shared" si="10"/>
        <v>Within Budget</v>
      </c>
      <c r="N229">
        <f t="shared" ca="1" si="11"/>
        <v>4</v>
      </c>
    </row>
    <row r="230" spans="1:14" x14ac:dyDescent="0.25">
      <c r="A230" t="s">
        <v>83</v>
      </c>
      <c r="B230" t="s">
        <v>58</v>
      </c>
      <c r="C230" t="s">
        <v>97</v>
      </c>
      <c r="D230" t="s">
        <v>14</v>
      </c>
      <c r="E230" s="2">
        <v>45414</v>
      </c>
      <c r="F230" s="2">
        <v>45442</v>
      </c>
      <c r="G230" s="2"/>
      <c r="H230" s="3">
        <v>0.78</v>
      </c>
      <c r="I230" s="4">
        <v>18000</v>
      </c>
      <c r="J230" s="4">
        <v>12600</v>
      </c>
      <c r="K230" t="s">
        <v>19</v>
      </c>
      <c r="L230" s="4">
        <f t="shared" si="9"/>
        <v>5400</v>
      </c>
      <c r="M230" t="str">
        <f t="shared" si="10"/>
        <v>Within Budget</v>
      </c>
      <c r="N230">
        <f t="shared" ca="1" si="11"/>
        <v>844</v>
      </c>
    </row>
    <row r="231" spans="1:14" x14ac:dyDescent="0.25">
      <c r="A231" t="s">
        <v>107</v>
      </c>
      <c r="B231" t="s">
        <v>98</v>
      </c>
      <c r="C231" t="s">
        <v>18</v>
      </c>
      <c r="D231" t="s">
        <v>36</v>
      </c>
      <c r="E231" s="2">
        <v>45822</v>
      </c>
      <c r="F231" s="2">
        <v>45857</v>
      </c>
      <c r="G231" s="2"/>
      <c r="H231" s="3">
        <v>0</v>
      </c>
      <c r="I231" s="4">
        <v>74000</v>
      </c>
      <c r="J231" s="4">
        <v>0</v>
      </c>
      <c r="K231" t="s">
        <v>48</v>
      </c>
      <c r="L231" s="4">
        <f t="shared" si="9"/>
        <v>74000</v>
      </c>
      <c r="M231" t="str">
        <f t="shared" si="10"/>
        <v>Within Budget</v>
      </c>
      <c r="N231">
        <f t="shared" ca="1" si="11"/>
        <v>429</v>
      </c>
    </row>
    <row r="232" spans="1:14" x14ac:dyDescent="0.25">
      <c r="A232" t="s">
        <v>57</v>
      </c>
      <c r="B232" t="s">
        <v>43</v>
      </c>
      <c r="C232" t="s">
        <v>54</v>
      </c>
      <c r="D232" t="s">
        <v>14</v>
      </c>
      <c r="E232" s="2">
        <v>45741</v>
      </c>
      <c r="F232" s="2">
        <v>45771</v>
      </c>
      <c r="G232" s="2"/>
      <c r="H232" s="3">
        <v>0</v>
      </c>
      <c r="I232" s="4">
        <v>35000</v>
      </c>
      <c r="J232" s="4">
        <v>0</v>
      </c>
      <c r="K232" t="s">
        <v>48</v>
      </c>
      <c r="L232" s="4">
        <f t="shared" si="9"/>
        <v>35000</v>
      </c>
      <c r="M232" t="str">
        <f t="shared" si="10"/>
        <v>Within Budget</v>
      </c>
      <c r="N232">
        <f t="shared" ca="1" si="11"/>
        <v>515</v>
      </c>
    </row>
    <row r="233" spans="1:14" x14ac:dyDescent="0.25">
      <c r="A233" t="s">
        <v>121</v>
      </c>
      <c r="B233" t="s">
        <v>30</v>
      </c>
      <c r="C233" t="s">
        <v>52</v>
      </c>
      <c r="D233" t="s">
        <v>36</v>
      </c>
      <c r="E233" s="2">
        <v>45700</v>
      </c>
      <c r="F233" s="2">
        <v>45710</v>
      </c>
      <c r="G233" s="2">
        <v>45729</v>
      </c>
      <c r="H233" s="3">
        <v>1</v>
      </c>
      <c r="I233" s="4">
        <v>6000</v>
      </c>
      <c r="J233" s="4">
        <v>5900</v>
      </c>
      <c r="K233" t="s">
        <v>15</v>
      </c>
      <c r="L233" s="4">
        <f t="shared" si="9"/>
        <v>100</v>
      </c>
      <c r="M233" t="str">
        <f t="shared" si="10"/>
        <v>Within Budget</v>
      </c>
      <c r="N233">
        <f t="shared" ca="1" si="11"/>
        <v>19</v>
      </c>
    </row>
    <row r="234" spans="1:14" x14ac:dyDescent="0.25">
      <c r="A234" t="s">
        <v>103</v>
      </c>
      <c r="B234" t="s">
        <v>25</v>
      </c>
      <c r="C234" t="s">
        <v>35</v>
      </c>
      <c r="D234" t="s">
        <v>23</v>
      </c>
      <c r="E234" s="2">
        <v>45298</v>
      </c>
      <c r="F234" s="2">
        <v>45330</v>
      </c>
      <c r="G234" s="2">
        <v>45357</v>
      </c>
      <c r="H234" s="3">
        <v>1</v>
      </c>
      <c r="I234" s="4">
        <v>46000</v>
      </c>
      <c r="J234" s="4">
        <v>50000</v>
      </c>
      <c r="K234" t="s">
        <v>15</v>
      </c>
      <c r="L234" s="4">
        <f t="shared" si="9"/>
        <v>-4000</v>
      </c>
      <c r="M234" t="str">
        <f t="shared" si="10"/>
        <v>Over Budget</v>
      </c>
      <c r="N234">
        <f t="shared" ca="1" si="11"/>
        <v>27</v>
      </c>
    </row>
    <row r="235" spans="1:14" x14ac:dyDescent="0.25">
      <c r="A235" t="s">
        <v>72</v>
      </c>
      <c r="B235" t="s">
        <v>108</v>
      </c>
      <c r="C235" t="s">
        <v>31</v>
      </c>
      <c r="D235" t="s">
        <v>14</v>
      </c>
      <c r="E235" s="2">
        <v>45547</v>
      </c>
      <c r="F235" s="2">
        <v>45577</v>
      </c>
      <c r="G235" s="2">
        <v>45584</v>
      </c>
      <c r="H235" s="3">
        <v>1</v>
      </c>
      <c r="I235" s="4">
        <v>40000</v>
      </c>
      <c r="J235" s="4">
        <v>42100</v>
      </c>
      <c r="K235" t="s">
        <v>15</v>
      </c>
      <c r="L235" s="4">
        <f t="shared" si="9"/>
        <v>-2100</v>
      </c>
      <c r="M235" t="str">
        <f t="shared" si="10"/>
        <v>Over Budget</v>
      </c>
      <c r="N235">
        <f t="shared" ca="1" si="11"/>
        <v>7</v>
      </c>
    </row>
    <row r="236" spans="1:14" x14ac:dyDescent="0.25">
      <c r="A236" t="s">
        <v>68</v>
      </c>
      <c r="B236" t="s">
        <v>114</v>
      </c>
      <c r="C236" t="s">
        <v>112</v>
      </c>
      <c r="D236" t="s">
        <v>14</v>
      </c>
      <c r="E236" s="2">
        <v>45339</v>
      </c>
      <c r="F236" s="2">
        <v>45354</v>
      </c>
      <c r="G236" s="2">
        <v>45367</v>
      </c>
      <c r="H236" s="3">
        <v>1</v>
      </c>
      <c r="I236" s="4">
        <v>23000</v>
      </c>
      <c r="J236" s="4">
        <v>24000</v>
      </c>
      <c r="K236" t="s">
        <v>15</v>
      </c>
      <c r="L236" s="4">
        <f t="shared" si="9"/>
        <v>-1000</v>
      </c>
      <c r="M236" t="str">
        <f t="shared" si="10"/>
        <v>Over Budget</v>
      </c>
      <c r="N236">
        <f t="shared" ca="1" si="11"/>
        <v>13</v>
      </c>
    </row>
    <row r="237" spans="1:14" x14ac:dyDescent="0.25">
      <c r="A237" t="s">
        <v>68</v>
      </c>
      <c r="B237" t="s">
        <v>88</v>
      </c>
      <c r="C237" t="s">
        <v>71</v>
      </c>
      <c r="D237" t="s">
        <v>23</v>
      </c>
      <c r="E237" s="2">
        <v>45692</v>
      </c>
      <c r="F237" s="2">
        <v>45718</v>
      </c>
      <c r="G237" s="2"/>
      <c r="H237" s="3">
        <v>0.31</v>
      </c>
      <c r="I237" s="4">
        <v>42000</v>
      </c>
      <c r="J237" s="4">
        <v>14300</v>
      </c>
      <c r="K237" t="s">
        <v>65</v>
      </c>
      <c r="L237" s="4">
        <f t="shared" si="9"/>
        <v>27700</v>
      </c>
      <c r="M237" t="str">
        <f t="shared" si="10"/>
        <v>Within Budget</v>
      </c>
      <c r="N237">
        <f t="shared" ca="1" si="11"/>
        <v>568</v>
      </c>
    </row>
    <row r="238" spans="1:14" x14ac:dyDescent="0.25">
      <c r="A238" t="s">
        <v>29</v>
      </c>
      <c r="B238" t="s">
        <v>92</v>
      </c>
      <c r="C238" t="s">
        <v>71</v>
      </c>
      <c r="D238" t="s">
        <v>14</v>
      </c>
      <c r="E238" s="2">
        <v>45724</v>
      </c>
      <c r="F238" s="2">
        <v>45749</v>
      </c>
      <c r="G238" s="2"/>
      <c r="H238" s="3">
        <v>0.43</v>
      </c>
      <c r="I238" s="4">
        <v>20000</v>
      </c>
      <c r="J238" s="4">
        <v>9700</v>
      </c>
      <c r="K238" t="s">
        <v>65</v>
      </c>
      <c r="L238" s="4">
        <f t="shared" si="9"/>
        <v>10300</v>
      </c>
      <c r="M238" t="str">
        <f t="shared" si="10"/>
        <v>Within Budget</v>
      </c>
      <c r="N238">
        <f t="shared" ca="1" si="11"/>
        <v>537</v>
      </c>
    </row>
    <row r="239" spans="1:14" x14ac:dyDescent="0.25">
      <c r="A239" t="s">
        <v>53</v>
      </c>
      <c r="B239" t="s">
        <v>30</v>
      </c>
      <c r="C239" t="s">
        <v>39</v>
      </c>
      <c r="D239" t="s">
        <v>14</v>
      </c>
      <c r="E239" s="2">
        <v>45476</v>
      </c>
      <c r="F239" s="2">
        <v>45494</v>
      </c>
      <c r="G239" s="2">
        <v>45485</v>
      </c>
      <c r="H239" s="3">
        <v>1</v>
      </c>
      <c r="I239" s="4">
        <v>49000</v>
      </c>
      <c r="J239" s="4">
        <v>55800</v>
      </c>
      <c r="K239" t="s">
        <v>15</v>
      </c>
      <c r="L239" s="4">
        <f t="shared" si="9"/>
        <v>-6800</v>
      </c>
      <c r="M239" t="str">
        <f t="shared" si="10"/>
        <v>Over Budget</v>
      </c>
      <c r="N239">
        <f t="shared" ca="1" si="11"/>
        <v>-9</v>
      </c>
    </row>
    <row r="240" spans="1:14" x14ac:dyDescent="0.25">
      <c r="A240" t="s">
        <v>29</v>
      </c>
      <c r="B240" t="s">
        <v>69</v>
      </c>
      <c r="C240" t="s">
        <v>112</v>
      </c>
      <c r="D240" t="s">
        <v>23</v>
      </c>
      <c r="E240" s="2">
        <v>45482</v>
      </c>
      <c r="F240" s="2">
        <v>45513</v>
      </c>
      <c r="G240" s="2">
        <v>45492</v>
      </c>
      <c r="H240" s="3">
        <v>0.3</v>
      </c>
      <c r="I240" s="4">
        <v>91000</v>
      </c>
      <c r="J240" s="4">
        <v>25700</v>
      </c>
      <c r="K240" t="s">
        <v>27</v>
      </c>
      <c r="L240" s="4">
        <f t="shared" si="9"/>
        <v>65300</v>
      </c>
      <c r="M240" t="str">
        <f t="shared" si="10"/>
        <v>Within Budget</v>
      </c>
      <c r="N240">
        <f t="shared" ca="1" si="11"/>
        <v>-21</v>
      </c>
    </row>
    <row r="241" spans="1:14" x14ac:dyDescent="0.25">
      <c r="A241" t="s">
        <v>120</v>
      </c>
      <c r="B241" t="s">
        <v>25</v>
      </c>
      <c r="C241" t="s">
        <v>113</v>
      </c>
      <c r="D241" t="s">
        <v>36</v>
      </c>
      <c r="E241" s="2">
        <v>45545</v>
      </c>
      <c r="F241" s="2">
        <v>45566</v>
      </c>
      <c r="G241" s="2"/>
      <c r="H241" s="3">
        <v>0.82</v>
      </c>
      <c r="I241" s="4">
        <v>12000</v>
      </c>
      <c r="J241" s="4">
        <v>8900</v>
      </c>
      <c r="K241" t="s">
        <v>19</v>
      </c>
      <c r="L241" s="4">
        <f t="shared" si="9"/>
        <v>3100</v>
      </c>
      <c r="M241" t="str">
        <f t="shared" si="10"/>
        <v>Within Budget</v>
      </c>
      <c r="N241">
        <f t="shared" ca="1" si="11"/>
        <v>720</v>
      </c>
    </row>
    <row r="242" spans="1:14" x14ac:dyDescent="0.25">
      <c r="A242" t="s">
        <v>104</v>
      </c>
      <c r="B242" t="s">
        <v>40</v>
      </c>
      <c r="C242" t="s">
        <v>67</v>
      </c>
      <c r="D242" t="s">
        <v>32</v>
      </c>
      <c r="E242" s="2">
        <v>45632</v>
      </c>
      <c r="F242" s="2">
        <v>45654</v>
      </c>
      <c r="G242" s="2">
        <v>45643</v>
      </c>
      <c r="H242" s="3">
        <v>0.15</v>
      </c>
      <c r="I242" s="4">
        <v>20000</v>
      </c>
      <c r="J242" s="4">
        <v>7800</v>
      </c>
      <c r="K242" t="s">
        <v>27</v>
      </c>
      <c r="L242" s="4">
        <f t="shared" si="9"/>
        <v>12200</v>
      </c>
      <c r="M242" t="str">
        <f t="shared" si="10"/>
        <v>Within Budget</v>
      </c>
      <c r="N242">
        <f t="shared" ca="1" si="11"/>
        <v>-11</v>
      </c>
    </row>
    <row r="243" spans="1:14" x14ac:dyDescent="0.25">
      <c r="A243" t="s">
        <v>16</v>
      </c>
      <c r="B243" t="s">
        <v>110</v>
      </c>
      <c r="C243" t="s">
        <v>61</v>
      </c>
      <c r="D243" t="s">
        <v>14</v>
      </c>
      <c r="E243" s="2">
        <v>45521</v>
      </c>
      <c r="F243" s="2">
        <v>45542</v>
      </c>
      <c r="G243" s="2">
        <v>45539</v>
      </c>
      <c r="H243" s="3">
        <v>1</v>
      </c>
      <c r="I243" s="4">
        <v>17000</v>
      </c>
      <c r="J243" s="4">
        <v>20300</v>
      </c>
      <c r="K243" t="s">
        <v>15</v>
      </c>
      <c r="L243" s="4">
        <f t="shared" si="9"/>
        <v>-3300</v>
      </c>
      <c r="M243" t="str">
        <f t="shared" si="10"/>
        <v>Over Budget</v>
      </c>
      <c r="N243">
        <f t="shared" ca="1" si="11"/>
        <v>-3</v>
      </c>
    </row>
    <row r="244" spans="1:14" x14ac:dyDescent="0.25">
      <c r="A244" t="s">
        <v>16</v>
      </c>
      <c r="B244" t="s">
        <v>75</v>
      </c>
      <c r="C244" t="s">
        <v>39</v>
      </c>
      <c r="D244" t="s">
        <v>36</v>
      </c>
      <c r="E244" s="2">
        <v>45331</v>
      </c>
      <c r="F244" s="2">
        <v>45339</v>
      </c>
      <c r="G244" s="2">
        <v>45335</v>
      </c>
      <c r="H244" s="3">
        <v>0.25</v>
      </c>
      <c r="I244" s="4">
        <v>4000</v>
      </c>
      <c r="J244" s="4">
        <v>1000</v>
      </c>
      <c r="K244" t="s">
        <v>27</v>
      </c>
      <c r="L244" s="4">
        <f t="shared" si="9"/>
        <v>3000</v>
      </c>
      <c r="M244" t="str">
        <f t="shared" si="10"/>
        <v>Within Budget</v>
      </c>
      <c r="N244">
        <f t="shared" ca="1" si="11"/>
        <v>-4</v>
      </c>
    </row>
    <row r="245" spans="1:14" x14ac:dyDescent="0.25">
      <c r="A245" t="s">
        <v>33</v>
      </c>
      <c r="B245" t="s">
        <v>115</v>
      </c>
      <c r="C245" t="s">
        <v>87</v>
      </c>
      <c r="D245" t="s">
        <v>23</v>
      </c>
      <c r="E245" s="2">
        <v>45755</v>
      </c>
      <c r="F245" s="2">
        <v>45786</v>
      </c>
      <c r="G245" s="2"/>
      <c r="H245" s="3">
        <v>0</v>
      </c>
      <c r="I245" s="4">
        <v>92000</v>
      </c>
      <c r="J245" s="4">
        <v>0</v>
      </c>
      <c r="K245" t="s">
        <v>48</v>
      </c>
      <c r="L245" s="4">
        <f t="shared" si="9"/>
        <v>92000</v>
      </c>
      <c r="M245" t="str">
        <f t="shared" si="10"/>
        <v>Within Budget</v>
      </c>
      <c r="N245">
        <f t="shared" ca="1" si="11"/>
        <v>500</v>
      </c>
    </row>
    <row r="246" spans="1:14" x14ac:dyDescent="0.25">
      <c r="A246" t="s">
        <v>81</v>
      </c>
      <c r="B246" t="s">
        <v>116</v>
      </c>
      <c r="C246" t="s">
        <v>47</v>
      </c>
      <c r="D246" t="s">
        <v>36</v>
      </c>
      <c r="E246" s="2">
        <v>45833</v>
      </c>
      <c r="F246" s="2">
        <v>45860</v>
      </c>
      <c r="G246" s="2"/>
      <c r="H246" s="3">
        <v>0</v>
      </c>
      <c r="I246" s="4">
        <v>21000</v>
      </c>
      <c r="J246" s="4">
        <v>0</v>
      </c>
      <c r="K246" t="s">
        <v>48</v>
      </c>
      <c r="L246" s="4">
        <f t="shared" si="9"/>
        <v>21000</v>
      </c>
      <c r="M246" t="str">
        <f t="shared" si="10"/>
        <v>Within Budget</v>
      </c>
      <c r="N246">
        <f t="shared" ca="1" si="11"/>
        <v>426</v>
      </c>
    </row>
    <row r="247" spans="1:14" x14ac:dyDescent="0.25">
      <c r="A247" t="s">
        <v>11</v>
      </c>
      <c r="B247" t="s">
        <v>85</v>
      </c>
      <c r="C247" t="s">
        <v>13</v>
      </c>
      <c r="D247" t="s">
        <v>32</v>
      </c>
      <c r="E247" s="2">
        <v>45542</v>
      </c>
      <c r="F247" s="2">
        <v>45575</v>
      </c>
      <c r="G247" s="2">
        <v>45588</v>
      </c>
      <c r="H247" s="3">
        <v>1</v>
      </c>
      <c r="I247" s="4">
        <v>49000</v>
      </c>
      <c r="J247" s="4">
        <v>60600</v>
      </c>
      <c r="K247" t="s">
        <v>15</v>
      </c>
      <c r="L247" s="4">
        <f t="shared" si="9"/>
        <v>-11600</v>
      </c>
      <c r="M247" t="str">
        <f t="shared" si="10"/>
        <v>Over Budget</v>
      </c>
      <c r="N247">
        <f t="shared" ca="1" si="11"/>
        <v>13</v>
      </c>
    </row>
    <row r="248" spans="1:14" x14ac:dyDescent="0.25">
      <c r="A248" t="s">
        <v>68</v>
      </c>
      <c r="B248" t="s">
        <v>93</v>
      </c>
      <c r="C248" t="s">
        <v>105</v>
      </c>
      <c r="D248" t="s">
        <v>14</v>
      </c>
      <c r="E248" s="2">
        <v>45493</v>
      </c>
      <c r="F248" s="2">
        <v>45503</v>
      </c>
      <c r="G248" s="2">
        <v>45503</v>
      </c>
      <c r="H248" s="3">
        <v>1</v>
      </c>
      <c r="I248" s="4">
        <v>11000</v>
      </c>
      <c r="J248" s="4">
        <v>12500</v>
      </c>
      <c r="K248" t="s">
        <v>15</v>
      </c>
      <c r="L248" s="4">
        <f t="shared" si="9"/>
        <v>-1500</v>
      </c>
      <c r="M248" t="str">
        <f t="shared" si="10"/>
        <v>Over Budget</v>
      </c>
      <c r="N248">
        <f t="shared" ca="1" si="11"/>
        <v>0</v>
      </c>
    </row>
    <row r="249" spans="1:14" x14ac:dyDescent="0.25">
      <c r="A249" t="s">
        <v>68</v>
      </c>
      <c r="B249" t="s">
        <v>34</v>
      </c>
      <c r="C249" t="s">
        <v>26</v>
      </c>
      <c r="D249" t="s">
        <v>23</v>
      </c>
      <c r="E249" s="2">
        <v>45790</v>
      </c>
      <c r="F249" s="2">
        <v>45800</v>
      </c>
      <c r="G249" s="2"/>
      <c r="H249" s="3">
        <v>0</v>
      </c>
      <c r="I249" s="4">
        <v>8000</v>
      </c>
      <c r="J249" s="4">
        <v>0</v>
      </c>
      <c r="K249" t="s">
        <v>48</v>
      </c>
      <c r="L249" s="4">
        <f t="shared" si="9"/>
        <v>8000</v>
      </c>
      <c r="M249" t="str">
        <f t="shared" si="10"/>
        <v>Within Budget</v>
      </c>
      <c r="N249">
        <f t="shared" ca="1" si="11"/>
        <v>486</v>
      </c>
    </row>
    <row r="250" spans="1:14" x14ac:dyDescent="0.25">
      <c r="A250" t="s">
        <v>91</v>
      </c>
      <c r="B250" t="s">
        <v>74</v>
      </c>
      <c r="C250" t="s">
        <v>87</v>
      </c>
      <c r="D250" t="s">
        <v>36</v>
      </c>
      <c r="E250" s="2">
        <v>45512</v>
      </c>
      <c r="F250" s="2">
        <v>45529</v>
      </c>
      <c r="G250" s="2">
        <v>45534</v>
      </c>
      <c r="H250" s="3">
        <v>1</v>
      </c>
      <c r="I250" s="4">
        <v>31000</v>
      </c>
      <c r="J250" s="4">
        <v>36700</v>
      </c>
      <c r="K250" t="s">
        <v>15</v>
      </c>
      <c r="L250" s="4">
        <f t="shared" si="9"/>
        <v>-5700</v>
      </c>
      <c r="M250" t="str">
        <f t="shared" si="10"/>
        <v>Over Budget</v>
      </c>
      <c r="N250">
        <f t="shared" ca="1" si="11"/>
        <v>5</v>
      </c>
    </row>
    <row r="251" spans="1:14" x14ac:dyDescent="0.25">
      <c r="A251" t="s">
        <v>11</v>
      </c>
      <c r="B251" t="s">
        <v>90</v>
      </c>
      <c r="C251" t="s">
        <v>26</v>
      </c>
      <c r="D251" t="s">
        <v>23</v>
      </c>
      <c r="E251" s="2">
        <v>45604</v>
      </c>
      <c r="F251" s="2">
        <v>45647</v>
      </c>
      <c r="G251" s="2"/>
      <c r="H251" s="3">
        <v>0.47</v>
      </c>
      <c r="I251" s="4">
        <v>62000</v>
      </c>
      <c r="J251" s="4">
        <v>68300</v>
      </c>
      <c r="K251" t="s">
        <v>19</v>
      </c>
      <c r="L251" s="4">
        <f t="shared" si="9"/>
        <v>-6300</v>
      </c>
      <c r="M251" t="str">
        <f t="shared" si="10"/>
        <v>Over Budget</v>
      </c>
      <c r="N251">
        <f t="shared" ca="1" si="11"/>
        <v>639</v>
      </c>
    </row>
    <row r="252" spans="1:14" x14ac:dyDescent="0.25">
      <c r="A252" t="s">
        <v>37</v>
      </c>
      <c r="B252" t="s">
        <v>110</v>
      </c>
      <c r="C252" t="s">
        <v>39</v>
      </c>
      <c r="D252" t="s">
        <v>36</v>
      </c>
      <c r="E252" s="2">
        <v>45512</v>
      </c>
      <c r="F252" s="2">
        <v>45531</v>
      </c>
      <c r="G252" s="2">
        <v>45543</v>
      </c>
      <c r="H252" s="3">
        <v>1</v>
      </c>
      <c r="I252" s="4">
        <v>14000</v>
      </c>
      <c r="J252" s="4">
        <v>14200</v>
      </c>
      <c r="K252" t="s">
        <v>15</v>
      </c>
      <c r="L252" s="4">
        <f t="shared" si="9"/>
        <v>-200</v>
      </c>
      <c r="M252" t="str">
        <f t="shared" si="10"/>
        <v>Over Budget</v>
      </c>
      <c r="N252">
        <f t="shared" ca="1" si="11"/>
        <v>12</v>
      </c>
    </row>
    <row r="253" spans="1:14" x14ac:dyDescent="0.25">
      <c r="A253" t="s">
        <v>16</v>
      </c>
      <c r="B253" t="s">
        <v>43</v>
      </c>
      <c r="C253" t="s">
        <v>60</v>
      </c>
      <c r="D253" t="s">
        <v>23</v>
      </c>
      <c r="E253" s="2">
        <v>45426</v>
      </c>
      <c r="F253" s="2">
        <v>45514</v>
      </c>
      <c r="G253" s="2"/>
      <c r="H253" s="3">
        <v>0.67</v>
      </c>
      <c r="I253" s="4">
        <v>193000</v>
      </c>
      <c r="J253" s="4">
        <v>146200</v>
      </c>
      <c r="K253" t="s">
        <v>19</v>
      </c>
      <c r="L253" s="4">
        <f t="shared" si="9"/>
        <v>46800</v>
      </c>
      <c r="M253" t="str">
        <f t="shared" si="10"/>
        <v>Within Budget</v>
      </c>
      <c r="N253">
        <f t="shared" ca="1" si="11"/>
        <v>772</v>
      </c>
    </row>
    <row r="254" spans="1:14" x14ac:dyDescent="0.25">
      <c r="A254" t="s">
        <v>50</v>
      </c>
      <c r="B254" t="s">
        <v>73</v>
      </c>
      <c r="C254" t="s">
        <v>111</v>
      </c>
      <c r="D254" t="s">
        <v>23</v>
      </c>
      <c r="E254" s="2">
        <v>45509</v>
      </c>
      <c r="F254" s="2">
        <v>45589</v>
      </c>
      <c r="G254" s="2">
        <v>45626</v>
      </c>
      <c r="H254" s="3">
        <v>1</v>
      </c>
      <c r="I254" s="4">
        <v>150000</v>
      </c>
      <c r="J254" s="4">
        <v>168500</v>
      </c>
      <c r="K254" t="s">
        <v>15</v>
      </c>
      <c r="L254" s="4">
        <f t="shared" si="9"/>
        <v>-18500</v>
      </c>
      <c r="M254" t="str">
        <f t="shared" si="10"/>
        <v>Over Budget</v>
      </c>
      <c r="N254">
        <f t="shared" ca="1" si="11"/>
        <v>37</v>
      </c>
    </row>
    <row r="255" spans="1:14" x14ac:dyDescent="0.25">
      <c r="A255" t="s">
        <v>11</v>
      </c>
      <c r="B255" t="s">
        <v>95</v>
      </c>
      <c r="C255" t="s">
        <v>97</v>
      </c>
      <c r="D255" t="s">
        <v>36</v>
      </c>
      <c r="E255" s="2">
        <v>45547</v>
      </c>
      <c r="F255" s="2">
        <v>45555</v>
      </c>
      <c r="G255" s="2">
        <v>45555</v>
      </c>
      <c r="H255" s="3">
        <v>1</v>
      </c>
      <c r="I255" s="4">
        <v>13000</v>
      </c>
      <c r="J255" s="4">
        <v>17200</v>
      </c>
      <c r="K255" t="s">
        <v>15</v>
      </c>
      <c r="L255" s="4">
        <f t="shared" si="9"/>
        <v>-4200</v>
      </c>
      <c r="M255" t="str">
        <f t="shared" si="10"/>
        <v>Over Budget</v>
      </c>
      <c r="N255">
        <f t="shared" ca="1" si="11"/>
        <v>0</v>
      </c>
    </row>
    <row r="256" spans="1:14" x14ac:dyDescent="0.25">
      <c r="A256" t="s">
        <v>66</v>
      </c>
      <c r="B256" t="s">
        <v>110</v>
      </c>
      <c r="C256" t="s">
        <v>47</v>
      </c>
      <c r="D256" t="s">
        <v>32</v>
      </c>
      <c r="E256" s="2">
        <v>45647</v>
      </c>
      <c r="F256" s="2">
        <v>45676</v>
      </c>
      <c r="G256" s="2"/>
      <c r="H256" s="3">
        <v>0.83</v>
      </c>
      <c r="I256" s="4">
        <v>33000</v>
      </c>
      <c r="J256" s="4">
        <v>26000</v>
      </c>
      <c r="K256" t="s">
        <v>65</v>
      </c>
      <c r="L256" s="4">
        <f t="shared" si="9"/>
        <v>7000</v>
      </c>
      <c r="M256" t="str">
        <f t="shared" si="10"/>
        <v>Within Budget</v>
      </c>
      <c r="N256">
        <f t="shared" ca="1" si="11"/>
        <v>610</v>
      </c>
    </row>
    <row r="257" spans="1:14" x14ac:dyDescent="0.25">
      <c r="A257" t="s">
        <v>103</v>
      </c>
      <c r="B257" t="s">
        <v>110</v>
      </c>
      <c r="C257" t="s">
        <v>26</v>
      </c>
      <c r="D257" t="s">
        <v>23</v>
      </c>
      <c r="E257" s="2">
        <v>45305</v>
      </c>
      <c r="F257" s="2">
        <v>45338</v>
      </c>
      <c r="G257" s="2">
        <v>45355</v>
      </c>
      <c r="H257" s="3">
        <v>1</v>
      </c>
      <c r="I257" s="4">
        <v>47000</v>
      </c>
      <c r="J257" s="4">
        <v>50800</v>
      </c>
      <c r="K257" t="s">
        <v>15</v>
      </c>
      <c r="L257" s="4">
        <f t="shared" si="9"/>
        <v>-3800</v>
      </c>
      <c r="M257" t="str">
        <f t="shared" si="10"/>
        <v>Over Budget</v>
      </c>
      <c r="N257">
        <f t="shared" ca="1" si="11"/>
        <v>17</v>
      </c>
    </row>
    <row r="258" spans="1:14" x14ac:dyDescent="0.25">
      <c r="A258" t="s">
        <v>29</v>
      </c>
      <c r="B258" t="s">
        <v>117</v>
      </c>
      <c r="C258" t="s">
        <v>106</v>
      </c>
      <c r="D258" t="s">
        <v>36</v>
      </c>
      <c r="E258" s="2">
        <v>45371</v>
      </c>
      <c r="F258" s="2">
        <v>45379</v>
      </c>
      <c r="G258" s="2">
        <v>45395</v>
      </c>
      <c r="H258" s="3">
        <v>1</v>
      </c>
      <c r="I258" s="4">
        <v>7000</v>
      </c>
      <c r="J258" s="4">
        <v>9200</v>
      </c>
      <c r="K258" t="s">
        <v>15</v>
      </c>
      <c r="L258" s="4">
        <f t="shared" si="9"/>
        <v>-2200</v>
      </c>
      <c r="M258" t="str">
        <f t="shared" si="10"/>
        <v>Over Budget</v>
      </c>
      <c r="N258">
        <f t="shared" ca="1" si="11"/>
        <v>16</v>
      </c>
    </row>
    <row r="259" spans="1:14" x14ac:dyDescent="0.25">
      <c r="A259" t="s">
        <v>118</v>
      </c>
      <c r="B259" t="s">
        <v>90</v>
      </c>
      <c r="C259" t="s">
        <v>87</v>
      </c>
      <c r="D259" t="s">
        <v>36</v>
      </c>
      <c r="E259" s="2">
        <v>45358</v>
      </c>
      <c r="F259" s="2">
        <v>45386</v>
      </c>
      <c r="G259" s="2">
        <v>45386</v>
      </c>
      <c r="H259" s="3">
        <v>1</v>
      </c>
      <c r="I259" s="4">
        <v>12000</v>
      </c>
      <c r="J259" s="4">
        <v>16200</v>
      </c>
      <c r="K259" t="s">
        <v>15</v>
      </c>
      <c r="L259" s="4">
        <f t="shared" ref="L259:L322" si="12">I259-J259</f>
        <v>-4200</v>
      </c>
      <c r="M259" t="str">
        <f t="shared" ref="M259:M322" si="13">IF(L259&lt;0, "Over Budget", "Within Budget")</f>
        <v>Over Budget</v>
      </c>
      <c r="N259">
        <f t="shared" ref="N259:N322" ca="1" si="14">IF(G259="",TODAY()-F259,G259-F259)</f>
        <v>0</v>
      </c>
    </row>
    <row r="260" spans="1:14" x14ac:dyDescent="0.25">
      <c r="A260" t="s">
        <v>57</v>
      </c>
      <c r="B260" t="s">
        <v>46</v>
      </c>
      <c r="C260" t="s">
        <v>71</v>
      </c>
      <c r="D260" t="s">
        <v>14</v>
      </c>
      <c r="E260" s="2">
        <v>45333</v>
      </c>
      <c r="F260" s="2">
        <v>45365</v>
      </c>
      <c r="G260" s="2">
        <v>45382</v>
      </c>
      <c r="H260" s="3">
        <v>1</v>
      </c>
      <c r="I260" s="4">
        <v>83000</v>
      </c>
      <c r="J260" s="4">
        <v>83300</v>
      </c>
      <c r="K260" t="s">
        <v>15</v>
      </c>
      <c r="L260" s="4">
        <f t="shared" si="12"/>
        <v>-300</v>
      </c>
      <c r="M260" t="str">
        <f t="shared" si="13"/>
        <v>Over Budget</v>
      </c>
      <c r="N260">
        <f t="shared" ca="1" si="14"/>
        <v>17</v>
      </c>
    </row>
    <row r="261" spans="1:14" x14ac:dyDescent="0.25">
      <c r="A261" t="s">
        <v>120</v>
      </c>
      <c r="B261" t="s">
        <v>30</v>
      </c>
      <c r="C261" t="s">
        <v>71</v>
      </c>
      <c r="D261" t="s">
        <v>14</v>
      </c>
      <c r="E261" s="2">
        <v>45495</v>
      </c>
      <c r="F261" s="2">
        <v>45520</v>
      </c>
      <c r="G261" s="2">
        <v>45532</v>
      </c>
      <c r="H261" s="3">
        <v>1</v>
      </c>
      <c r="I261" s="4">
        <v>29000</v>
      </c>
      <c r="J261" s="4">
        <v>25800</v>
      </c>
      <c r="K261" t="s">
        <v>15</v>
      </c>
      <c r="L261" s="4">
        <f t="shared" si="12"/>
        <v>3200</v>
      </c>
      <c r="M261" t="str">
        <f t="shared" si="13"/>
        <v>Within Budget</v>
      </c>
      <c r="N261">
        <f t="shared" ca="1" si="14"/>
        <v>12</v>
      </c>
    </row>
    <row r="262" spans="1:14" x14ac:dyDescent="0.25">
      <c r="A262" t="s">
        <v>77</v>
      </c>
      <c r="B262" t="s">
        <v>98</v>
      </c>
      <c r="C262" t="s">
        <v>112</v>
      </c>
      <c r="D262" t="s">
        <v>14</v>
      </c>
      <c r="E262" s="2">
        <v>45732</v>
      </c>
      <c r="F262" s="2">
        <v>45745</v>
      </c>
      <c r="G262" s="2"/>
      <c r="H262" s="3">
        <v>0</v>
      </c>
      <c r="I262" s="4">
        <v>39000</v>
      </c>
      <c r="J262" s="4">
        <v>0</v>
      </c>
      <c r="K262" t="s">
        <v>48</v>
      </c>
      <c r="L262" s="4">
        <f t="shared" si="12"/>
        <v>39000</v>
      </c>
      <c r="M262" t="str">
        <f t="shared" si="13"/>
        <v>Within Budget</v>
      </c>
      <c r="N262">
        <f t="shared" ca="1" si="14"/>
        <v>541</v>
      </c>
    </row>
    <row r="263" spans="1:14" x14ac:dyDescent="0.25">
      <c r="A263" t="s">
        <v>66</v>
      </c>
      <c r="B263" t="s">
        <v>21</v>
      </c>
      <c r="C263" t="s">
        <v>97</v>
      </c>
      <c r="D263" t="s">
        <v>23</v>
      </c>
      <c r="E263" s="2">
        <v>45534</v>
      </c>
      <c r="F263" s="2">
        <v>45567</v>
      </c>
      <c r="G263" s="2">
        <v>45575</v>
      </c>
      <c r="H263" s="3">
        <v>1</v>
      </c>
      <c r="I263" s="4">
        <v>91000</v>
      </c>
      <c r="J263" s="4">
        <v>112700</v>
      </c>
      <c r="K263" t="s">
        <v>15</v>
      </c>
      <c r="L263" s="4">
        <f t="shared" si="12"/>
        <v>-21700</v>
      </c>
      <c r="M263" t="str">
        <f t="shared" si="13"/>
        <v>Over Budget</v>
      </c>
      <c r="N263">
        <f t="shared" ca="1" si="14"/>
        <v>8</v>
      </c>
    </row>
    <row r="264" spans="1:14" x14ac:dyDescent="0.25">
      <c r="A264" t="s">
        <v>42</v>
      </c>
      <c r="B264" t="s">
        <v>102</v>
      </c>
      <c r="C264" t="s">
        <v>97</v>
      </c>
      <c r="D264" t="s">
        <v>14</v>
      </c>
      <c r="E264" s="2">
        <v>45307</v>
      </c>
      <c r="F264" s="2">
        <v>45322</v>
      </c>
      <c r="G264" s="2">
        <v>45358</v>
      </c>
      <c r="H264" s="3">
        <v>1</v>
      </c>
      <c r="I264" s="4">
        <v>43000</v>
      </c>
      <c r="J264" s="4">
        <v>51600</v>
      </c>
      <c r="K264" t="s">
        <v>15</v>
      </c>
      <c r="L264" s="4">
        <f t="shared" si="12"/>
        <v>-8600</v>
      </c>
      <c r="M264" t="str">
        <f t="shared" si="13"/>
        <v>Over Budget</v>
      </c>
      <c r="N264">
        <f t="shared" ca="1" si="14"/>
        <v>36</v>
      </c>
    </row>
    <row r="265" spans="1:14" x14ac:dyDescent="0.25">
      <c r="A265" t="s">
        <v>11</v>
      </c>
      <c r="B265" t="s">
        <v>49</v>
      </c>
      <c r="C265" t="s">
        <v>112</v>
      </c>
      <c r="D265" t="s">
        <v>23</v>
      </c>
      <c r="E265" s="2">
        <v>45524</v>
      </c>
      <c r="F265" s="2">
        <v>45552</v>
      </c>
      <c r="G265" s="2">
        <v>45552</v>
      </c>
      <c r="H265" s="3">
        <v>1</v>
      </c>
      <c r="I265" s="4">
        <v>32000</v>
      </c>
      <c r="J265" s="4">
        <v>41100</v>
      </c>
      <c r="K265" t="s">
        <v>15</v>
      </c>
      <c r="L265" s="4">
        <f t="shared" si="12"/>
        <v>-9100</v>
      </c>
      <c r="M265" t="str">
        <f t="shared" si="13"/>
        <v>Over Budget</v>
      </c>
      <c r="N265">
        <f t="shared" ca="1" si="14"/>
        <v>0</v>
      </c>
    </row>
    <row r="266" spans="1:14" x14ac:dyDescent="0.25">
      <c r="A266" t="s">
        <v>104</v>
      </c>
      <c r="B266" t="s">
        <v>59</v>
      </c>
      <c r="C266" t="s">
        <v>47</v>
      </c>
      <c r="D266" t="s">
        <v>14</v>
      </c>
      <c r="E266" s="2">
        <v>45695</v>
      </c>
      <c r="F266" s="2">
        <v>45730</v>
      </c>
      <c r="G266" s="2"/>
      <c r="H266" s="3">
        <v>0.18</v>
      </c>
      <c r="I266" s="4">
        <v>68000</v>
      </c>
      <c r="J266" s="4">
        <v>13200</v>
      </c>
      <c r="K266" t="s">
        <v>65</v>
      </c>
      <c r="L266" s="4">
        <f t="shared" si="12"/>
        <v>54800</v>
      </c>
      <c r="M266" t="str">
        <f t="shared" si="13"/>
        <v>Within Budget</v>
      </c>
      <c r="N266">
        <f t="shared" ca="1" si="14"/>
        <v>556</v>
      </c>
    </row>
    <row r="267" spans="1:14" x14ac:dyDescent="0.25">
      <c r="A267" t="s">
        <v>72</v>
      </c>
      <c r="B267" t="s">
        <v>21</v>
      </c>
      <c r="C267" t="s">
        <v>61</v>
      </c>
      <c r="D267" t="s">
        <v>23</v>
      </c>
      <c r="E267" s="2">
        <v>45652</v>
      </c>
      <c r="F267" s="2">
        <v>45683</v>
      </c>
      <c r="G267" s="2"/>
      <c r="H267" s="3">
        <v>0.8</v>
      </c>
      <c r="I267" s="4">
        <v>83000</v>
      </c>
      <c r="J267" s="4">
        <v>46400</v>
      </c>
      <c r="K267" t="s">
        <v>19</v>
      </c>
      <c r="L267" s="4">
        <f t="shared" si="12"/>
        <v>36600</v>
      </c>
      <c r="M267" t="str">
        <f t="shared" si="13"/>
        <v>Within Budget</v>
      </c>
      <c r="N267">
        <f t="shared" ca="1" si="14"/>
        <v>603</v>
      </c>
    </row>
    <row r="268" spans="1:14" x14ac:dyDescent="0.25">
      <c r="A268" t="s">
        <v>103</v>
      </c>
      <c r="B268" t="s">
        <v>34</v>
      </c>
      <c r="C268" t="s">
        <v>106</v>
      </c>
      <c r="D268" t="s">
        <v>23</v>
      </c>
      <c r="E268" s="2">
        <v>45390</v>
      </c>
      <c r="F268" s="2">
        <v>45411</v>
      </c>
      <c r="G268" s="2"/>
      <c r="H268" s="3">
        <v>0.41</v>
      </c>
      <c r="I268" s="4">
        <v>34000</v>
      </c>
      <c r="J268" s="4">
        <v>34900</v>
      </c>
      <c r="K268" t="s">
        <v>19</v>
      </c>
      <c r="L268" s="4">
        <f t="shared" si="12"/>
        <v>-900</v>
      </c>
      <c r="M268" t="str">
        <f t="shared" si="13"/>
        <v>Over Budget</v>
      </c>
      <c r="N268">
        <f t="shared" ca="1" si="14"/>
        <v>875</v>
      </c>
    </row>
    <row r="269" spans="1:14" x14ac:dyDescent="0.25">
      <c r="A269" t="s">
        <v>83</v>
      </c>
      <c r="B269" t="s">
        <v>64</v>
      </c>
      <c r="C269" t="s">
        <v>113</v>
      </c>
      <c r="D269" t="s">
        <v>23</v>
      </c>
      <c r="E269" s="2">
        <v>45546</v>
      </c>
      <c r="F269" s="2">
        <v>45556</v>
      </c>
      <c r="G269" s="2">
        <v>45573</v>
      </c>
      <c r="H269" s="3">
        <v>1</v>
      </c>
      <c r="I269" s="4">
        <v>11000</v>
      </c>
      <c r="J269" s="4">
        <v>11000</v>
      </c>
      <c r="K269" t="s">
        <v>15</v>
      </c>
      <c r="L269" s="4">
        <f t="shared" si="12"/>
        <v>0</v>
      </c>
      <c r="M269" t="str">
        <f t="shared" si="13"/>
        <v>Within Budget</v>
      </c>
      <c r="N269">
        <f t="shared" ca="1" si="14"/>
        <v>17</v>
      </c>
    </row>
    <row r="270" spans="1:14" x14ac:dyDescent="0.25">
      <c r="A270" t="s">
        <v>42</v>
      </c>
      <c r="B270" t="s">
        <v>38</v>
      </c>
      <c r="C270" t="s">
        <v>41</v>
      </c>
      <c r="D270" t="s">
        <v>14</v>
      </c>
      <c r="E270" s="2">
        <v>45564</v>
      </c>
      <c r="F270" s="2">
        <v>45583</v>
      </c>
      <c r="G270" s="2">
        <v>45598</v>
      </c>
      <c r="H270" s="3">
        <v>1</v>
      </c>
      <c r="I270" s="4">
        <v>32000</v>
      </c>
      <c r="J270" s="4">
        <v>37000</v>
      </c>
      <c r="K270" t="s">
        <v>15</v>
      </c>
      <c r="L270" s="4">
        <f t="shared" si="12"/>
        <v>-5000</v>
      </c>
      <c r="M270" t="str">
        <f t="shared" si="13"/>
        <v>Over Budget</v>
      </c>
      <c r="N270">
        <f t="shared" ca="1" si="14"/>
        <v>15</v>
      </c>
    </row>
    <row r="271" spans="1:14" x14ac:dyDescent="0.25">
      <c r="A271" t="s">
        <v>16</v>
      </c>
      <c r="B271" t="s">
        <v>125</v>
      </c>
      <c r="C271" t="s">
        <v>22</v>
      </c>
      <c r="D271" t="s">
        <v>36</v>
      </c>
      <c r="E271" s="2">
        <v>45477</v>
      </c>
      <c r="F271" s="2">
        <v>45492</v>
      </c>
      <c r="G271" s="2"/>
      <c r="H271" s="3">
        <v>0.57999999999999996</v>
      </c>
      <c r="I271" s="4">
        <v>29000</v>
      </c>
      <c r="J271" s="4">
        <v>21000</v>
      </c>
      <c r="K271" t="s">
        <v>19</v>
      </c>
      <c r="L271" s="4">
        <f t="shared" si="12"/>
        <v>8000</v>
      </c>
      <c r="M271" t="str">
        <f t="shared" si="13"/>
        <v>Within Budget</v>
      </c>
      <c r="N271">
        <f t="shared" ca="1" si="14"/>
        <v>794</v>
      </c>
    </row>
    <row r="272" spans="1:14" x14ac:dyDescent="0.25">
      <c r="A272" t="s">
        <v>11</v>
      </c>
      <c r="B272" t="s">
        <v>49</v>
      </c>
      <c r="C272" t="s">
        <v>54</v>
      </c>
      <c r="D272" t="s">
        <v>23</v>
      </c>
      <c r="E272" s="2">
        <v>45480</v>
      </c>
      <c r="F272" s="2">
        <v>45494</v>
      </c>
      <c r="G272" s="2">
        <v>45498</v>
      </c>
      <c r="H272" s="3">
        <v>1</v>
      </c>
      <c r="I272" s="4">
        <v>30000</v>
      </c>
      <c r="J272" s="4">
        <v>25900</v>
      </c>
      <c r="K272" t="s">
        <v>15</v>
      </c>
      <c r="L272" s="4">
        <f t="shared" si="12"/>
        <v>4100</v>
      </c>
      <c r="M272" t="str">
        <f t="shared" si="13"/>
        <v>Within Budget</v>
      </c>
      <c r="N272">
        <f t="shared" ca="1" si="14"/>
        <v>4</v>
      </c>
    </row>
    <row r="273" spans="1:14" x14ac:dyDescent="0.25">
      <c r="A273" t="s">
        <v>55</v>
      </c>
      <c r="B273" t="s">
        <v>25</v>
      </c>
      <c r="C273" t="s">
        <v>60</v>
      </c>
      <c r="D273" t="s">
        <v>36</v>
      </c>
      <c r="E273" s="2">
        <v>45477</v>
      </c>
      <c r="F273" s="2">
        <v>45496</v>
      </c>
      <c r="G273" s="2">
        <v>45490</v>
      </c>
      <c r="H273" s="3">
        <v>1</v>
      </c>
      <c r="I273" s="4">
        <v>25000</v>
      </c>
      <c r="J273" s="4">
        <v>21600</v>
      </c>
      <c r="K273" t="s">
        <v>15</v>
      </c>
      <c r="L273" s="4">
        <f t="shared" si="12"/>
        <v>3400</v>
      </c>
      <c r="M273" t="str">
        <f t="shared" si="13"/>
        <v>Within Budget</v>
      </c>
      <c r="N273">
        <f t="shared" ca="1" si="14"/>
        <v>-6</v>
      </c>
    </row>
    <row r="274" spans="1:14" x14ac:dyDescent="0.25">
      <c r="A274" t="s">
        <v>33</v>
      </c>
      <c r="B274" t="s">
        <v>74</v>
      </c>
      <c r="C274" t="s">
        <v>97</v>
      </c>
      <c r="D274" t="s">
        <v>23</v>
      </c>
      <c r="E274" s="2">
        <v>45498</v>
      </c>
      <c r="F274" s="2">
        <v>45527</v>
      </c>
      <c r="G274" s="2"/>
      <c r="H274" s="3">
        <v>0.61</v>
      </c>
      <c r="I274" s="4">
        <v>19000</v>
      </c>
      <c r="J274" s="4">
        <v>23900</v>
      </c>
      <c r="K274" t="s">
        <v>19</v>
      </c>
      <c r="L274" s="4">
        <f t="shared" si="12"/>
        <v>-4900</v>
      </c>
      <c r="M274" t="str">
        <f t="shared" si="13"/>
        <v>Over Budget</v>
      </c>
      <c r="N274">
        <f t="shared" ca="1" si="14"/>
        <v>759</v>
      </c>
    </row>
    <row r="275" spans="1:14" x14ac:dyDescent="0.25">
      <c r="A275" t="s">
        <v>53</v>
      </c>
      <c r="B275" t="s">
        <v>46</v>
      </c>
      <c r="C275" t="s">
        <v>100</v>
      </c>
      <c r="D275" t="s">
        <v>14</v>
      </c>
      <c r="E275" s="2">
        <v>45679</v>
      </c>
      <c r="F275" s="2">
        <v>45687</v>
      </c>
      <c r="G275" s="2">
        <v>45714</v>
      </c>
      <c r="H275" s="3">
        <v>1</v>
      </c>
      <c r="I275" s="4">
        <v>4000</v>
      </c>
      <c r="J275" s="4">
        <v>4400</v>
      </c>
      <c r="K275" t="s">
        <v>15</v>
      </c>
      <c r="L275" s="4">
        <f t="shared" si="12"/>
        <v>-400</v>
      </c>
      <c r="M275" t="str">
        <f t="shared" si="13"/>
        <v>Over Budget</v>
      </c>
      <c r="N275">
        <f t="shared" ca="1" si="14"/>
        <v>27</v>
      </c>
    </row>
    <row r="276" spans="1:14" x14ac:dyDescent="0.25">
      <c r="A276" t="s">
        <v>45</v>
      </c>
      <c r="B276" t="s">
        <v>84</v>
      </c>
      <c r="C276" t="s">
        <v>31</v>
      </c>
      <c r="D276" t="s">
        <v>23</v>
      </c>
      <c r="E276" s="2">
        <v>45426</v>
      </c>
      <c r="F276" s="2">
        <v>45457</v>
      </c>
      <c r="G276" s="2">
        <v>45467</v>
      </c>
      <c r="H276" s="3">
        <v>1</v>
      </c>
      <c r="I276" s="4">
        <v>51000</v>
      </c>
      <c r="J276" s="4">
        <v>43900</v>
      </c>
      <c r="K276" t="s">
        <v>15</v>
      </c>
      <c r="L276" s="4">
        <f t="shared" si="12"/>
        <v>7100</v>
      </c>
      <c r="M276" t="str">
        <f t="shared" si="13"/>
        <v>Within Budget</v>
      </c>
      <c r="N276">
        <f t="shared" ca="1" si="14"/>
        <v>10</v>
      </c>
    </row>
    <row r="277" spans="1:14" x14ac:dyDescent="0.25">
      <c r="A277" t="s">
        <v>91</v>
      </c>
      <c r="B277" t="s">
        <v>58</v>
      </c>
      <c r="C277" t="s">
        <v>54</v>
      </c>
      <c r="D277" t="s">
        <v>23</v>
      </c>
      <c r="E277" s="2">
        <v>45807</v>
      </c>
      <c r="F277" s="2">
        <v>45823</v>
      </c>
      <c r="G277" s="2"/>
      <c r="H277" s="3">
        <v>0.39</v>
      </c>
      <c r="I277" s="4">
        <v>23000</v>
      </c>
      <c r="J277" s="4">
        <v>9300</v>
      </c>
      <c r="K277" t="s">
        <v>65</v>
      </c>
      <c r="L277" s="4">
        <f t="shared" si="12"/>
        <v>13700</v>
      </c>
      <c r="M277" t="str">
        <f t="shared" si="13"/>
        <v>Within Budget</v>
      </c>
      <c r="N277">
        <f t="shared" ca="1" si="14"/>
        <v>463</v>
      </c>
    </row>
    <row r="278" spans="1:14" x14ac:dyDescent="0.25">
      <c r="A278" t="s">
        <v>55</v>
      </c>
      <c r="B278" t="s">
        <v>102</v>
      </c>
      <c r="C278" t="s">
        <v>44</v>
      </c>
      <c r="D278" t="s">
        <v>14</v>
      </c>
      <c r="E278" s="2">
        <v>45785</v>
      </c>
      <c r="F278" s="2">
        <v>45797</v>
      </c>
      <c r="G278" s="2"/>
      <c r="H278" s="3">
        <v>0</v>
      </c>
      <c r="I278" s="4">
        <v>33000</v>
      </c>
      <c r="J278" s="4">
        <v>0</v>
      </c>
      <c r="K278" t="s">
        <v>48</v>
      </c>
      <c r="L278" s="4">
        <f t="shared" si="12"/>
        <v>33000</v>
      </c>
      <c r="M278" t="str">
        <f t="shared" si="13"/>
        <v>Within Budget</v>
      </c>
      <c r="N278">
        <f t="shared" ca="1" si="14"/>
        <v>489</v>
      </c>
    </row>
    <row r="279" spans="1:14" x14ac:dyDescent="0.25">
      <c r="A279" t="s">
        <v>57</v>
      </c>
      <c r="B279" t="s">
        <v>49</v>
      </c>
      <c r="C279" t="s">
        <v>97</v>
      </c>
      <c r="D279" t="s">
        <v>14</v>
      </c>
      <c r="E279" s="2">
        <v>45420</v>
      </c>
      <c r="F279" s="2">
        <v>45431</v>
      </c>
      <c r="G279" s="2">
        <v>45421</v>
      </c>
      <c r="H279" s="3">
        <v>0.25</v>
      </c>
      <c r="I279" s="4">
        <v>18000</v>
      </c>
      <c r="J279" s="4">
        <v>2200</v>
      </c>
      <c r="K279" t="s">
        <v>27</v>
      </c>
      <c r="L279" s="4">
        <f t="shared" si="12"/>
        <v>15800</v>
      </c>
      <c r="M279" t="str">
        <f t="shared" si="13"/>
        <v>Within Budget</v>
      </c>
      <c r="N279">
        <f t="shared" ca="1" si="14"/>
        <v>-10</v>
      </c>
    </row>
    <row r="280" spans="1:14" x14ac:dyDescent="0.25">
      <c r="A280" t="s">
        <v>33</v>
      </c>
      <c r="B280" t="s">
        <v>95</v>
      </c>
      <c r="C280" t="s">
        <v>13</v>
      </c>
      <c r="D280" t="s">
        <v>14</v>
      </c>
      <c r="E280" s="2">
        <v>45455</v>
      </c>
      <c r="F280" s="2">
        <v>45473</v>
      </c>
      <c r="G280" s="2">
        <v>45483</v>
      </c>
      <c r="H280" s="3">
        <v>1</v>
      </c>
      <c r="I280" s="4">
        <v>46000</v>
      </c>
      <c r="J280" s="4">
        <v>59800</v>
      </c>
      <c r="K280" t="s">
        <v>15</v>
      </c>
      <c r="L280" s="4">
        <f t="shared" si="12"/>
        <v>-13800</v>
      </c>
      <c r="M280" t="str">
        <f t="shared" si="13"/>
        <v>Over Budget</v>
      </c>
      <c r="N280">
        <f t="shared" ca="1" si="14"/>
        <v>10</v>
      </c>
    </row>
    <row r="281" spans="1:14" x14ac:dyDescent="0.25">
      <c r="A281" t="s">
        <v>120</v>
      </c>
      <c r="B281" t="s">
        <v>102</v>
      </c>
      <c r="C281" t="s">
        <v>71</v>
      </c>
      <c r="D281" t="s">
        <v>14</v>
      </c>
      <c r="E281" s="2">
        <v>45615</v>
      </c>
      <c r="F281" s="2">
        <v>45625</v>
      </c>
      <c r="G281" s="2">
        <v>45643</v>
      </c>
      <c r="H281" s="3">
        <v>1</v>
      </c>
      <c r="I281" s="4">
        <v>12000</v>
      </c>
      <c r="J281" s="4">
        <v>10400</v>
      </c>
      <c r="K281" t="s">
        <v>15</v>
      </c>
      <c r="L281" s="4">
        <f t="shared" si="12"/>
        <v>1600</v>
      </c>
      <c r="M281" t="str">
        <f t="shared" si="13"/>
        <v>Within Budget</v>
      </c>
      <c r="N281">
        <f t="shared" ca="1" si="14"/>
        <v>18</v>
      </c>
    </row>
    <row r="282" spans="1:14" x14ac:dyDescent="0.25">
      <c r="A282" t="s">
        <v>24</v>
      </c>
      <c r="B282" t="s">
        <v>114</v>
      </c>
      <c r="C282" t="s">
        <v>26</v>
      </c>
      <c r="D282" t="s">
        <v>14</v>
      </c>
      <c r="E282" s="2">
        <v>45385</v>
      </c>
      <c r="F282" s="2">
        <v>45411</v>
      </c>
      <c r="G282" s="2">
        <v>45437</v>
      </c>
      <c r="H282" s="3">
        <v>1</v>
      </c>
      <c r="I282" s="4">
        <v>37000</v>
      </c>
      <c r="J282" s="4">
        <v>33600</v>
      </c>
      <c r="K282" t="s">
        <v>15</v>
      </c>
      <c r="L282" s="4">
        <f t="shared" si="12"/>
        <v>3400</v>
      </c>
      <c r="M282" t="str">
        <f t="shared" si="13"/>
        <v>Within Budget</v>
      </c>
      <c r="N282">
        <f t="shared" ca="1" si="14"/>
        <v>26</v>
      </c>
    </row>
    <row r="283" spans="1:14" x14ac:dyDescent="0.25">
      <c r="A283" t="s">
        <v>33</v>
      </c>
      <c r="B283" t="s">
        <v>89</v>
      </c>
      <c r="C283" t="s">
        <v>71</v>
      </c>
      <c r="D283" t="s">
        <v>14</v>
      </c>
      <c r="E283" s="2">
        <v>45578</v>
      </c>
      <c r="F283" s="2">
        <v>45611</v>
      </c>
      <c r="G283" s="2"/>
      <c r="H283" s="3">
        <v>0.56999999999999995</v>
      </c>
      <c r="I283" s="4">
        <v>40000</v>
      </c>
      <c r="J283" s="4">
        <v>31500</v>
      </c>
      <c r="K283" t="s">
        <v>19</v>
      </c>
      <c r="L283" s="4">
        <f t="shared" si="12"/>
        <v>8500</v>
      </c>
      <c r="M283" t="str">
        <f t="shared" si="13"/>
        <v>Within Budget</v>
      </c>
      <c r="N283">
        <f t="shared" ca="1" si="14"/>
        <v>675</v>
      </c>
    </row>
    <row r="284" spans="1:14" x14ac:dyDescent="0.25">
      <c r="A284" t="s">
        <v>83</v>
      </c>
      <c r="B284" t="s">
        <v>69</v>
      </c>
      <c r="C284" t="s">
        <v>61</v>
      </c>
      <c r="D284" t="s">
        <v>32</v>
      </c>
      <c r="E284" s="2">
        <v>45748</v>
      </c>
      <c r="F284" s="2">
        <v>45763</v>
      </c>
      <c r="G284" s="2"/>
      <c r="H284" s="3">
        <v>0</v>
      </c>
      <c r="I284" s="4">
        <v>14000</v>
      </c>
      <c r="J284" s="4">
        <v>0</v>
      </c>
      <c r="K284" t="s">
        <v>48</v>
      </c>
      <c r="L284" s="4">
        <f t="shared" si="12"/>
        <v>14000</v>
      </c>
      <c r="M284" t="str">
        <f t="shared" si="13"/>
        <v>Within Budget</v>
      </c>
      <c r="N284">
        <f t="shared" ca="1" si="14"/>
        <v>523</v>
      </c>
    </row>
    <row r="285" spans="1:14" x14ac:dyDescent="0.25">
      <c r="A285" t="s">
        <v>42</v>
      </c>
      <c r="B285" t="s">
        <v>69</v>
      </c>
      <c r="C285" t="s">
        <v>106</v>
      </c>
      <c r="D285" t="s">
        <v>23</v>
      </c>
      <c r="E285" s="2">
        <v>45830</v>
      </c>
      <c r="F285" s="2">
        <v>45855</v>
      </c>
      <c r="G285" s="2"/>
      <c r="H285" s="3">
        <v>0.27</v>
      </c>
      <c r="I285" s="4">
        <v>15000</v>
      </c>
      <c r="J285" s="4">
        <v>3300</v>
      </c>
      <c r="K285" t="s">
        <v>65</v>
      </c>
      <c r="L285" s="4">
        <f t="shared" si="12"/>
        <v>11700</v>
      </c>
      <c r="M285" t="str">
        <f t="shared" si="13"/>
        <v>Within Budget</v>
      </c>
      <c r="N285">
        <f t="shared" ca="1" si="14"/>
        <v>431</v>
      </c>
    </row>
    <row r="286" spans="1:14" x14ac:dyDescent="0.25">
      <c r="A286" t="s">
        <v>99</v>
      </c>
      <c r="B286" t="s">
        <v>85</v>
      </c>
      <c r="C286" t="s">
        <v>100</v>
      </c>
      <c r="D286" t="s">
        <v>36</v>
      </c>
      <c r="E286" s="2">
        <v>45699</v>
      </c>
      <c r="F286" s="2">
        <v>45732</v>
      </c>
      <c r="G286" s="2"/>
      <c r="H286" s="3">
        <v>0.36</v>
      </c>
      <c r="I286" s="4">
        <v>61000</v>
      </c>
      <c r="J286" s="4">
        <v>22300</v>
      </c>
      <c r="K286" t="s">
        <v>65</v>
      </c>
      <c r="L286" s="4">
        <f t="shared" si="12"/>
        <v>38700</v>
      </c>
      <c r="M286" t="str">
        <f t="shared" si="13"/>
        <v>Within Budget</v>
      </c>
      <c r="N286">
        <f t="shared" ca="1" si="14"/>
        <v>554</v>
      </c>
    </row>
    <row r="287" spans="1:14" x14ac:dyDescent="0.25">
      <c r="A287" t="s">
        <v>104</v>
      </c>
      <c r="B287" t="s">
        <v>12</v>
      </c>
      <c r="C287" t="s">
        <v>97</v>
      </c>
      <c r="D287" t="s">
        <v>14</v>
      </c>
      <c r="E287" s="2">
        <v>45700</v>
      </c>
      <c r="F287" s="2">
        <v>45710</v>
      </c>
      <c r="G287" s="2">
        <v>45702</v>
      </c>
      <c r="H287" s="3">
        <v>1</v>
      </c>
      <c r="I287" s="4">
        <v>4000</v>
      </c>
      <c r="J287" s="4">
        <v>3800</v>
      </c>
      <c r="K287" t="s">
        <v>15</v>
      </c>
      <c r="L287" s="4">
        <f t="shared" si="12"/>
        <v>200</v>
      </c>
      <c r="M287" t="str">
        <f t="shared" si="13"/>
        <v>Within Budget</v>
      </c>
      <c r="N287">
        <f t="shared" ca="1" si="14"/>
        <v>-8</v>
      </c>
    </row>
    <row r="288" spans="1:14" x14ac:dyDescent="0.25">
      <c r="A288" t="s">
        <v>99</v>
      </c>
      <c r="B288" t="s">
        <v>86</v>
      </c>
      <c r="C288" t="s">
        <v>31</v>
      </c>
      <c r="D288" t="s">
        <v>23</v>
      </c>
      <c r="E288" s="2">
        <v>45540</v>
      </c>
      <c r="F288" s="2">
        <v>45567</v>
      </c>
      <c r="G288" s="2">
        <v>45581</v>
      </c>
      <c r="H288" s="3">
        <v>1</v>
      </c>
      <c r="I288" s="4">
        <v>46000</v>
      </c>
      <c r="J288" s="4">
        <v>46200</v>
      </c>
      <c r="K288" t="s">
        <v>15</v>
      </c>
      <c r="L288" s="4">
        <f t="shared" si="12"/>
        <v>-200</v>
      </c>
      <c r="M288" t="str">
        <f t="shared" si="13"/>
        <v>Over Budget</v>
      </c>
      <c r="N288">
        <f t="shared" ca="1" si="14"/>
        <v>14</v>
      </c>
    </row>
    <row r="289" spans="1:14" x14ac:dyDescent="0.25">
      <c r="A289" t="s">
        <v>72</v>
      </c>
      <c r="B289" t="s">
        <v>119</v>
      </c>
      <c r="C289" t="s">
        <v>71</v>
      </c>
      <c r="D289" t="s">
        <v>23</v>
      </c>
      <c r="E289" s="2">
        <v>45316</v>
      </c>
      <c r="F289" s="2">
        <v>45324</v>
      </c>
      <c r="G289" s="2"/>
      <c r="H289" s="3">
        <v>0.67</v>
      </c>
      <c r="I289" s="4">
        <v>10000</v>
      </c>
      <c r="J289" s="4">
        <v>9500</v>
      </c>
      <c r="K289" t="s">
        <v>19</v>
      </c>
      <c r="L289" s="4">
        <f t="shared" si="12"/>
        <v>500</v>
      </c>
      <c r="M289" t="str">
        <f t="shared" si="13"/>
        <v>Within Budget</v>
      </c>
      <c r="N289">
        <f t="shared" ca="1" si="14"/>
        <v>962</v>
      </c>
    </row>
    <row r="290" spans="1:14" x14ac:dyDescent="0.25">
      <c r="A290" t="s">
        <v>72</v>
      </c>
      <c r="B290" t="s">
        <v>63</v>
      </c>
      <c r="C290" t="s">
        <v>41</v>
      </c>
      <c r="D290" t="s">
        <v>14</v>
      </c>
      <c r="E290" s="2">
        <v>45618</v>
      </c>
      <c r="F290" s="2">
        <v>45628</v>
      </c>
      <c r="G290" s="2">
        <v>45620</v>
      </c>
      <c r="H290" s="3">
        <v>1</v>
      </c>
      <c r="I290" s="4">
        <v>9000</v>
      </c>
      <c r="J290" s="4">
        <v>11300</v>
      </c>
      <c r="K290" t="s">
        <v>15</v>
      </c>
      <c r="L290" s="4">
        <f t="shared" si="12"/>
        <v>-2300</v>
      </c>
      <c r="M290" t="str">
        <f t="shared" si="13"/>
        <v>Over Budget</v>
      </c>
      <c r="N290">
        <f t="shared" ca="1" si="14"/>
        <v>-8</v>
      </c>
    </row>
    <row r="291" spans="1:14" x14ac:dyDescent="0.25">
      <c r="A291" t="s">
        <v>72</v>
      </c>
      <c r="B291" t="s">
        <v>101</v>
      </c>
      <c r="C291" t="s">
        <v>113</v>
      </c>
      <c r="D291" t="s">
        <v>36</v>
      </c>
      <c r="E291" s="2">
        <v>45323</v>
      </c>
      <c r="F291" s="2">
        <v>45335</v>
      </c>
      <c r="G291" s="2">
        <v>45364</v>
      </c>
      <c r="H291" s="3">
        <v>1</v>
      </c>
      <c r="I291" s="4">
        <v>37000</v>
      </c>
      <c r="J291" s="4">
        <v>49600</v>
      </c>
      <c r="K291" t="s">
        <v>15</v>
      </c>
      <c r="L291" s="4">
        <f t="shared" si="12"/>
        <v>-12600</v>
      </c>
      <c r="M291" t="str">
        <f t="shared" si="13"/>
        <v>Over Budget</v>
      </c>
      <c r="N291">
        <f t="shared" ca="1" si="14"/>
        <v>29</v>
      </c>
    </row>
    <row r="292" spans="1:14" x14ac:dyDescent="0.25">
      <c r="A292" t="s">
        <v>83</v>
      </c>
      <c r="B292" t="s">
        <v>75</v>
      </c>
      <c r="C292" t="s">
        <v>54</v>
      </c>
      <c r="D292" t="s">
        <v>23</v>
      </c>
      <c r="E292" s="2">
        <v>45373</v>
      </c>
      <c r="F292" s="2">
        <v>45393</v>
      </c>
      <c r="G292" s="2">
        <v>45404</v>
      </c>
      <c r="H292" s="3">
        <v>1</v>
      </c>
      <c r="I292" s="4">
        <v>16000</v>
      </c>
      <c r="J292" s="4">
        <v>20500</v>
      </c>
      <c r="K292" t="s">
        <v>15</v>
      </c>
      <c r="L292" s="4">
        <f t="shared" si="12"/>
        <v>-4500</v>
      </c>
      <c r="M292" t="str">
        <f t="shared" si="13"/>
        <v>Over Budget</v>
      </c>
      <c r="N292">
        <f t="shared" ca="1" si="14"/>
        <v>11</v>
      </c>
    </row>
    <row r="293" spans="1:14" x14ac:dyDescent="0.25">
      <c r="A293" t="s">
        <v>104</v>
      </c>
      <c r="B293" t="s">
        <v>124</v>
      </c>
      <c r="C293" t="s">
        <v>106</v>
      </c>
      <c r="D293" t="s">
        <v>14</v>
      </c>
      <c r="E293" s="2">
        <v>45790</v>
      </c>
      <c r="F293" s="2">
        <v>45806</v>
      </c>
      <c r="G293" s="2"/>
      <c r="H293" s="3">
        <v>0</v>
      </c>
      <c r="I293" s="4">
        <v>36000</v>
      </c>
      <c r="J293" s="4">
        <v>0</v>
      </c>
      <c r="K293" t="s">
        <v>48</v>
      </c>
      <c r="L293" s="4">
        <f t="shared" si="12"/>
        <v>36000</v>
      </c>
      <c r="M293" t="str">
        <f t="shared" si="13"/>
        <v>Within Budget</v>
      </c>
      <c r="N293">
        <f t="shared" ca="1" si="14"/>
        <v>480</v>
      </c>
    </row>
    <row r="294" spans="1:14" x14ac:dyDescent="0.25">
      <c r="A294" t="s">
        <v>29</v>
      </c>
      <c r="B294" t="s">
        <v>30</v>
      </c>
      <c r="C294" t="s">
        <v>18</v>
      </c>
      <c r="D294" t="s">
        <v>14</v>
      </c>
      <c r="E294" s="2">
        <v>45780</v>
      </c>
      <c r="F294" s="2">
        <v>45805</v>
      </c>
      <c r="G294" s="2"/>
      <c r="H294" s="3">
        <v>0</v>
      </c>
      <c r="I294" s="4">
        <v>47000</v>
      </c>
      <c r="J294" s="4">
        <v>0</v>
      </c>
      <c r="K294" t="s">
        <v>48</v>
      </c>
      <c r="L294" s="4">
        <f t="shared" si="12"/>
        <v>47000</v>
      </c>
      <c r="M294" t="str">
        <f t="shared" si="13"/>
        <v>Within Budget</v>
      </c>
      <c r="N294">
        <f t="shared" ca="1" si="14"/>
        <v>481</v>
      </c>
    </row>
    <row r="295" spans="1:14" x14ac:dyDescent="0.25">
      <c r="A295" t="s">
        <v>68</v>
      </c>
      <c r="B295" t="s">
        <v>124</v>
      </c>
      <c r="C295" t="s">
        <v>113</v>
      </c>
      <c r="D295" t="s">
        <v>36</v>
      </c>
      <c r="E295" s="2">
        <v>45607</v>
      </c>
      <c r="F295" s="2">
        <v>45630</v>
      </c>
      <c r="G295" s="2"/>
      <c r="H295" s="3">
        <v>0.42</v>
      </c>
      <c r="I295" s="4">
        <v>20000</v>
      </c>
      <c r="J295" s="4">
        <v>15100</v>
      </c>
      <c r="K295" t="s">
        <v>19</v>
      </c>
      <c r="L295" s="4">
        <f t="shared" si="12"/>
        <v>4900</v>
      </c>
      <c r="M295" t="str">
        <f t="shared" si="13"/>
        <v>Within Budget</v>
      </c>
      <c r="N295">
        <f t="shared" ca="1" si="14"/>
        <v>656</v>
      </c>
    </row>
    <row r="296" spans="1:14" x14ac:dyDescent="0.25">
      <c r="A296" t="s">
        <v>68</v>
      </c>
      <c r="B296" t="s">
        <v>51</v>
      </c>
      <c r="C296" t="s">
        <v>61</v>
      </c>
      <c r="D296" t="s">
        <v>36</v>
      </c>
      <c r="E296" s="2">
        <v>45589</v>
      </c>
      <c r="F296" s="2">
        <v>45618</v>
      </c>
      <c r="G296" s="2">
        <v>45618</v>
      </c>
      <c r="H296" s="3">
        <v>1</v>
      </c>
      <c r="I296" s="4">
        <v>38000</v>
      </c>
      <c r="J296" s="4">
        <v>32600</v>
      </c>
      <c r="K296" t="s">
        <v>15</v>
      </c>
      <c r="L296" s="4">
        <f t="shared" si="12"/>
        <v>5400</v>
      </c>
      <c r="M296" t="str">
        <f t="shared" si="13"/>
        <v>Within Budget</v>
      </c>
      <c r="N296">
        <f t="shared" ca="1" si="14"/>
        <v>0</v>
      </c>
    </row>
    <row r="297" spans="1:14" x14ac:dyDescent="0.25">
      <c r="A297" t="s">
        <v>99</v>
      </c>
      <c r="B297" t="s">
        <v>74</v>
      </c>
      <c r="C297" t="s">
        <v>52</v>
      </c>
      <c r="D297" t="s">
        <v>36</v>
      </c>
      <c r="E297" s="2">
        <v>45747</v>
      </c>
      <c r="F297" s="2">
        <v>45761</v>
      </c>
      <c r="G297" s="2"/>
      <c r="H297" s="3">
        <v>0</v>
      </c>
      <c r="I297" s="4">
        <v>37000</v>
      </c>
      <c r="J297" s="4">
        <v>0</v>
      </c>
      <c r="K297" t="s">
        <v>48</v>
      </c>
      <c r="L297" s="4">
        <f t="shared" si="12"/>
        <v>37000</v>
      </c>
      <c r="M297" t="str">
        <f t="shared" si="13"/>
        <v>Within Budget</v>
      </c>
      <c r="N297">
        <f t="shared" ca="1" si="14"/>
        <v>525</v>
      </c>
    </row>
    <row r="298" spans="1:14" x14ac:dyDescent="0.25">
      <c r="A298" t="s">
        <v>11</v>
      </c>
      <c r="B298" t="s">
        <v>88</v>
      </c>
      <c r="C298" t="s">
        <v>31</v>
      </c>
      <c r="D298" t="s">
        <v>32</v>
      </c>
      <c r="E298" s="2">
        <v>45443</v>
      </c>
      <c r="F298" s="2">
        <v>45452</v>
      </c>
      <c r="G298" s="2">
        <v>45447</v>
      </c>
      <c r="H298" s="3">
        <v>0.3</v>
      </c>
      <c r="I298" s="4">
        <v>4000</v>
      </c>
      <c r="J298" s="4">
        <v>1000</v>
      </c>
      <c r="K298" t="s">
        <v>27</v>
      </c>
      <c r="L298" s="4">
        <f t="shared" si="12"/>
        <v>3000</v>
      </c>
      <c r="M298" t="str">
        <f t="shared" si="13"/>
        <v>Within Budget</v>
      </c>
      <c r="N298">
        <f t="shared" ca="1" si="14"/>
        <v>-5</v>
      </c>
    </row>
    <row r="299" spans="1:14" x14ac:dyDescent="0.25">
      <c r="A299" t="s">
        <v>72</v>
      </c>
      <c r="B299" t="s">
        <v>110</v>
      </c>
      <c r="C299" t="s">
        <v>47</v>
      </c>
      <c r="D299" t="s">
        <v>36</v>
      </c>
      <c r="E299" s="2">
        <v>45503</v>
      </c>
      <c r="F299" s="2">
        <v>45520</v>
      </c>
      <c r="G299" s="2">
        <v>45515</v>
      </c>
      <c r="H299" s="3">
        <v>1</v>
      </c>
      <c r="I299" s="4">
        <v>41000</v>
      </c>
      <c r="J299" s="4">
        <v>43000</v>
      </c>
      <c r="K299" t="s">
        <v>15</v>
      </c>
      <c r="L299" s="4">
        <f t="shared" si="12"/>
        <v>-2000</v>
      </c>
      <c r="M299" t="str">
        <f t="shared" si="13"/>
        <v>Over Budget</v>
      </c>
      <c r="N299">
        <f t="shared" ca="1" si="14"/>
        <v>-5</v>
      </c>
    </row>
    <row r="300" spans="1:14" x14ac:dyDescent="0.25">
      <c r="A300" t="s">
        <v>24</v>
      </c>
      <c r="B300" t="s">
        <v>95</v>
      </c>
      <c r="C300" t="s">
        <v>111</v>
      </c>
      <c r="D300" t="s">
        <v>36</v>
      </c>
      <c r="E300" s="2">
        <v>45598</v>
      </c>
      <c r="F300" s="2">
        <v>45614</v>
      </c>
      <c r="G300" s="2">
        <v>45606</v>
      </c>
      <c r="H300" s="3">
        <v>0.3</v>
      </c>
      <c r="I300" s="4">
        <v>42000</v>
      </c>
      <c r="J300" s="4">
        <v>4600</v>
      </c>
      <c r="K300" t="s">
        <v>27</v>
      </c>
      <c r="L300" s="4">
        <f t="shared" si="12"/>
        <v>37400</v>
      </c>
      <c r="M300" t="str">
        <f t="shared" si="13"/>
        <v>Within Budget</v>
      </c>
      <c r="N300">
        <f t="shared" ca="1" si="14"/>
        <v>-8</v>
      </c>
    </row>
    <row r="301" spans="1:14" x14ac:dyDescent="0.25">
      <c r="A301" t="s">
        <v>20</v>
      </c>
      <c r="B301" t="s">
        <v>75</v>
      </c>
      <c r="C301" t="s">
        <v>41</v>
      </c>
      <c r="D301" t="s">
        <v>23</v>
      </c>
      <c r="E301" s="2">
        <v>45599</v>
      </c>
      <c r="F301" s="2">
        <v>45626</v>
      </c>
      <c r="G301" s="2">
        <v>45669</v>
      </c>
      <c r="H301" s="3">
        <v>1</v>
      </c>
      <c r="I301" s="4">
        <v>37000</v>
      </c>
      <c r="J301" s="4">
        <v>34400</v>
      </c>
      <c r="K301" t="s">
        <v>15</v>
      </c>
      <c r="L301" s="4">
        <f t="shared" si="12"/>
        <v>2600</v>
      </c>
      <c r="M301" t="str">
        <f t="shared" si="13"/>
        <v>Within Budget</v>
      </c>
      <c r="N301">
        <f t="shared" ca="1" si="14"/>
        <v>43</v>
      </c>
    </row>
    <row r="302" spans="1:14" x14ac:dyDescent="0.25">
      <c r="A302" t="s">
        <v>107</v>
      </c>
      <c r="B302" t="s">
        <v>82</v>
      </c>
      <c r="C302" t="s">
        <v>113</v>
      </c>
      <c r="D302" t="s">
        <v>36</v>
      </c>
      <c r="E302" s="2">
        <v>45563</v>
      </c>
      <c r="F302" s="2">
        <v>45588</v>
      </c>
      <c r="G302" s="2"/>
      <c r="H302" s="3">
        <v>0.81</v>
      </c>
      <c r="I302" s="4">
        <v>46000</v>
      </c>
      <c r="J302" s="4">
        <v>58800</v>
      </c>
      <c r="K302" t="s">
        <v>19</v>
      </c>
      <c r="L302" s="4">
        <f t="shared" si="12"/>
        <v>-12800</v>
      </c>
      <c r="M302" t="str">
        <f t="shared" si="13"/>
        <v>Over Budget</v>
      </c>
      <c r="N302">
        <f t="shared" ca="1" si="14"/>
        <v>698</v>
      </c>
    </row>
    <row r="303" spans="1:14" x14ac:dyDescent="0.25">
      <c r="A303" t="s">
        <v>20</v>
      </c>
      <c r="B303" t="s">
        <v>30</v>
      </c>
      <c r="C303" t="s">
        <v>87</v>
      </c>
      <c r="D303" t="s">
        <v>32</v>
      </c>
      <c r="E303" s="2">
        <v>45831</v>
      </c>
      <c r="F303" s="2">
        <v>45839</v>
      </c>
      <c r="G303" s="2"/>
      <c r="H303" s="3">
        <v>0.48</v>
      </c>
      <c r="I303" s="4">
        <v>4000</v>
      </c>
      <c r="J303" s="4">
        <v>1800</v>
      </c>
      <c r="K303" t="s">
        <v>65</v>
      </c>
      <c r="L303" s="4">
        <f t="shared" si="12"/>
        <v>2200</v>
      </c>
      <c r="M303" t="str">
        <f t="shared" si="13"/>
        <v>Within Budget</v>
      </c>
      <c r="N303">
        <f t="shared" ca="1" si="14"/>
        <v>447</v>
      </c>
    </row>
    <row r="304" spans="1:14" x14ac:dyDescent="0.25">
      <c r="A304" t="s">
        <v>57</v>
      </c>
      <c r="B304" t="s">
        <v>123</v>
      </c>
      <c r="C304" t="s">
        <v>67</v>
      </c>
      <c r="D304" t="s">
        <v>14</v>
      </c>
      <c r="E304" s="2">
        <v>45818</v>
      </c>
      <c r="F304" s="2">
        <v>45878</v>
      </c>
      <c r="G304" s="2"/>
      <c r="H304" s="3">
        <v>0</v>
      </c>
      <c r="I304" s="4">
        <v>83000</v>
      </c>
      <c r="J304" s="4">
        <v>0</v>
      </c>
      <c r="K304" t="s">
        <v>48</v>
      </c>
      <c r="L304" s="4">
        <f t="shared" si="12"/>
        <v>83000</v>
      </c>
      <c r="M304" t="str">
        <f t="shared" si="13"/>
        <v>Within Budget</v>
      </c>
      <c r="N304">
        <f t="shared" ca="1" si="14"/>
        <v>408</v>
      </c>
    </row>
    <row r="305" spans="1:14" x14ac:dyDescent="0.25">
      <c r="A305" t="s">
        <v>72</v>
      </c>
      <c r="B305" t="s">
        <v>58</v>
      </c>
      <c r="C305" t="s">
        <v>60</v>
      </c>
      <c r="D305" t="s">
        <v>36</v>
      </c>
      <c r="E305" s="2">
        <v>45654</v>
      </c>
      <c r="F305" s="2">
        <v>45681</v>
      </c>
      <c r="G305" s="2">
        <v>45726</v>
      </c>
      <c r="H305" s="3">
        <v>1</v>
      </c>
      <c r="I305" s="4">
        <v>21000</v>
      </c>
      <c r="J305" s="4">
        <v>22500</v>
      </c>
      <c r="K305" t="s">
        <v>15</v>
      </c>
      <c r="L305" s="4">
        <f t="shared" si="12"/>
        <v>-1500</v>
      </c>
      <c r="M305" t="str">
        <f t="shared" si="13"/>
        <v>Over Budget</v>
      </c>
      <c r="N305">
        <f t="shared" ca="1" si="14"/>
        <v>45</v>
      </c>
    </row>
    <row r="306" spans="1:14" x14ac:dyDescent="0.25">
      <c r="A306" t="s">
        <v>62</v>
      </c>
      <c r="B306" t="s">
        <v>49</v>
      </c>
      <c r="C306" t="s">
        <v>44</v>
      </c>
      <c r="D306" t="s">
        <v>14</v>
      </c>
      <c r="E306" s="2">
        <v>45571</v>
      </c>
      <c r="F306" s="2">
        <v>45594</v>
      </c>
      <c r="G306" s="2">
        <v>45605</v>
      </c>
      <c r="H306" s="3">
        <v>1</v>
      </c>
      <c r="I306" s="4">
        <v>49000</v>
      </c>
      <c r="J306" s="4">
        <v>66100</v>
      </c>
      <c r="K306" t="s">
        <v>15</v>
      </c>
      <c r="L306" s="4">
        <f t="shared" si="12"/>
        <v>-17100</v>
      </c>
      <c r="M306" t="str">
        <f t="shared" si="13"/>
        <v>Over Budget</v>
      </c>
      <c r="N306">
        <f t="shared" ca="1" si="14"/>
        <v>11</v>
      </c>
    </row>
    <row r="307" spans="1:14" x14ac:dyDescent="0.25">
      <c r="A307" t="s">
        <v>104</v>
      </c>
      <c r="B307" t="s">
        <v>88</v>
      </c>
      <c r="C307" t="s">
        <v>28</v>
      </c>
      <c r="D307" t="s">
        <v>14</v>
      </c>
      <c r="E307" s="2">
        <v>45825</v>
      </c>
      <c r="F307" s="2">
        <v>45846</v>
      </c>
      <c r="G307" s="2"/>
      <c r="H307" s="3">
        <v>0</v>
      </c>
      <c r="I307" s="4">
        <v>13000</v>
      </c>
      <c r="J307" s="4">
        <v>0</v>
      </c>
      <c r="K307" t="s">
        <v>48</v>
      </c>
      <c r="L307" s="4">
        <f t="shared" si="12"/>
        <v>13000</v>
      </c>
      <c r="M307" t="str">
        <f t="shared" si="13"/>
        <v>Within Budget</v>
      </c>
      <c r="N307">
        <f t="shared" ca="1" si="14"/>
        <v>440</v>
      </c>
    </row>
    <row r="308" spans="1:14" x14ac:dyDescent="0.25">
      <c r="A308" t="s">
        <v>33</v>
      </c>
      <c r="B308" t="s">
        <v>122</v>
      </c>
      <c r="C308" t="s">
        <v>61</v>
      </c>
      <c r="D308" t="s">
        <v>23</v>
      </c>
      <c r="E308" s="2">
        <v>45728</v>
      </c>
      <c r="F308" s="2">
        <v>45759</v>
      </c>
      <c r="G308" s="2"/>
      <c r="H308" s="3">
        <v>0.74</v>
      </c>
      <c r="I308" s="4">
        <v>45000</v>
      </c>
      <c r="J308" s="4">
        <v>29200</v>
      </c>
      <c r="K308" t="s">
        <v>65</v>
      </c>
      <c r="L308" s="4">
        <f t="shared" si="12"/>
        <v>15800</v>
      </c>
      <c r="M308" t="str">
        <f t="shared" si="13"/>
        <v>Within Budget</v>
      </c>
      <c r="N308">
        <f t="shared" ca="1" si="14"/>
        <v>527</v>
      </c>
    </row>
    <row r="309" spans="1:14" x14ac:dyDescent="0.25">
      <c r="A309" t="s">
        <v>16</v>
      </c>
      <c r="B309" t="s">
        <v>12</v>
      </c>
      <c r="C309" t="s">
        <v>39</v>
      </c>
      <c r="D309" t="s">
        <v>14</v>
      </c>
      <c r="E309" s="2">
        <v>45738</v>
      </c>
      <c r="F309" s="2">
        <v>45765</v>
      </c>
      <c r="G309" s="2"/>
      <c r="H309" s="3">
        <v>0</v>
      </c>
      <c r="I309" s="4">
        <v>39000</v>
      </c>
      <c r="J309" s="4">
        <v>0</v>
      </c>
      <c r="K309" t="s">
        <v>48</v>
      </c>
      <c r="L309" s="4">
        <f t="shared" si="12"/>
        <v>39000</v>
      </c>
      <c r="M309" t="str">
        <f t="shared" si="13"/>
        <v>Within Budget</v>
      </c>
      <c r="N309">
        <f t="shared" ca="1" si="14"/>
        <v>521</v>
      </c>
    </row>
    <row r="310" spans="1:14" x14ac:dyDescent="0.25">
      <c r="A310" t="s">
        <v>107</v>
      </c>
      <c r="B310" t="s">
        <v>34</v>
      </c>
      <c r="C310" t="s">
        <v>28</v>
      </c>
      <c r="D310" t="s">
        <v>32</v>
      </c>
      <c r="E310" s="2">
        <v>45654</v>
      </c>
      <c r="F310" s="2">
        <v>45686</v>
      </c>
      <c r="G310" s="2">
        <v>45702</v>
      </c>
      <c r="H310" s="3">
        <v>1</v>
      </c>
      <c r="I310" s="4">
        <v>37000</v>
      </c>
      <c r="J310" s="4">
        <v>42500</v>
      </c>
      <c r="K310" t="s">
        <v>15</v>
      </c>
      <c r="L310" s="4">
        <f t="shared" si="12"/>
        <v>-5500</v>
      </c>
      <c r="M310" t="str">
        <f t="shared" si="13"/>
        <v>Over Budget</v>
      </c>
      <c r="N310">
        <f t="shared" ca="1" si="14"/>
        <v>16</v>
      </c>
    </row>
    <row r="311" spans="1:14" x14ac:dyDescent="0.25">
      <c r="A311" t="s">
        <v>62</v>
      </c>
      <c r="B311" t="s">
        <v>92</v>
      </c>
      <c r="C311" t="s">
        <v>97</v>
      </c>
      <c r="D311" t="s">
        <v>14</v>
      </c>
      <c r="E311" s="2">
        <v>45519</v>
      </c>
      <c r="F311" s="2">
        <v>45539</v>
      </c>
      <c r="G311" s="2"/>
      <c r="H311" s="3">
        <v>0.41</v>
      </c>
      <c r="I311" s="4">
        <v>20000</v>
      </c>
      <c r="J311" s="4">
        <v>19700</v>
      </c>
      <c r="K311" t="s">
        <v>19</v>
      </c>
      <c r="L311" s="4">
        <f t="shared" si="12"/>
        <v>300</v>
      </c>
      <c r="M311" t="str">
        <f t="shared" si="13"/>
        <v>Within Budget</v>
      </c>
      <c r="N311">
        <f t="shared" ca="1" si="14"/>
        <v>747</v>
      </c>
    </row>
    <row r="312" spans="1:14" x14ac:dyDescent="0.25">
      <c r="A312" t="s">
        <v>53</v>
      </c>
      <c r="B312" t="s">
        <v>108</v>
      </c>
      <c r="C312" t="s">
        <v>22</v>
      </c>
      <c r="D312" t="s">
        <v>36</v>
      </c>
      <c r="E312" s="2">
        <v>45434</v>
      </c>
      <c r="F312" s="2">
        <v>45451</v>
      </c>
      <c r="G312" s="2">
        <v>45451</v>
      </c>
      <c r="H312" s="3">
        <v>1</v>
      </c>
      <c r="I312" s="4">
        <v>31000</v>
      </c>
      <c r="J312" s="4">
        <v>37800</v>
      </c>
      <c r="K312" t="s">
        <v>15</v>
      </c>
      <c r="L312" s="4">
        <f t="shared" si="12"/>
        <v>-6800</v>
      </c>
      <c r="M312" t="str">
        <f t="shared" si="13"/>
        <v>Over Budget</v>
      </c>
      <c r="N312">
        <f t="shared" ca="1" si="14"/>
        <v>0</v>
      </c>
    </row>
    <row r="313" spans="1:14" x14ac:dyDescent="0.25">
      <c r="A313" t="s">
        <v>37</v>
      </c>
      <c r="B313" t="s">
        <v>38</v>
      </c>
      <c r="C313" t="s">
        <v>31</v>
      </c>
      <c r="D313" t="s">
        <v>32</v>
      </c>
      <c r="E313" s="2">
        <v>45346</v>
      </c>
      <c r="F313" s="2">
        <v>45368</v>
      </c>
      <c r="G313" s="2">
        <v>45368</v>
      </c>
      <c r="H313" s="3">
        <v>1</v>
      </c>
      <c r="I313" s="4">
        <v>46000</v>
      </c>
      <c r="J313" s="4">
        <v>44300</v>
      </c>
      <c r="K313" t="s">
        <v>15</v>
      </c>
      <c r="L313" s="4">
        <f t="shared" si="12"/>
        <v>1700</v>
      </c>
      <c r="M313" t="str">
        <f t="shared" si="13"/>
        <v>Within Budget</v>
      </c>
      <c r="N313">
        <f t="shared" ca="1" si="14"/>
        <v>0</v>
      </c>
    </row>
    <row r="314" spans="1:14" x14ac:dyDescent="0.25">
      <c r="A314" t="s">
        <v>24</v>
      </c>
      <c r="B314" t="s">
        <v>63</v>
      </c>
      <c r="C314" t="s">
        <v>13</v>
      </c>
      <c r="D314" t="s">
        <v>36</v>
      </c>
      <c r="E314" s="2">
        <v>45646</v>
      </c>
      <c r="F314" s="2">
        <v>45653</v>
      </c>
      <c r="G314" s="2"/>
      <c r="H314" s="3">
        <v>0.35</v>
      </c>
      <c r="I314" s="4">
        <v>5000</v>
      </c>
      <c r="J314" s="4">
        <v>5700</v>
      </c>
      <c r="K314" t="s">
        <v>19</v>
      </c>
      <c r="L314" s="4">
        <f t="shared" si="12"/>
        <v>-700</v>
      </c>
      <c r="M314" t="str">
        <f t="shared" si="13"/>
        <v>Over Budget</v>
      </c>
      <c r="N314">
        <f t="shared" ca="1" si="14"/>
        <v>633</v>
      </c>
    </row>
    <row r="315" spans="1:14" x14ac:dyDescent="0.25">
      <c r="A315" t="s">
        <v>103</v>
      </c>
      <c r="B315" t="s">
        <v>74</v>
      </c>
      <c r="C315" t="s">
        <v>111</v>
      </c>
      <c r="D315" t="s">
        <v>14</v>
      </c>
      <c r="E315" s="2">
        <v>45538</v>
      </c>
      <c r="F315" s="2">
        <v>45548</v>
      </c>
      <c r="G315" s="2"/>
      <c r="H315" s="3">
        <v>0.85</v>
      </c>
      <c r="I315" s="4">
        <v>15000</v>
      </c>
      <c r="J315" s="4">
        <v>8500</v>
      </c>
      <c r="K315" t="s">
        <v>19</v>
      </c>
      <c r="L315" s="4">
        <f t="shared" si="12"/>
        <v>6500</v>
      </c>
      <c r="M315" t="str">
        <f t="shared" si="13"/>
        <v>Within Budget</v>
      </c>
      <c r="N315">
        <f t="shared" ca="1" si="14"/>
        <v>738</v>
      </c>
    </row>
    <row r="316" spans="1:14" x14ac:dyDescent="0.25">
      <c r="A316" t="s">
        <v>77</v>
      </c>
      <c r="B316" t="s">
        <v>125</v>
      </c>
      <c r="C316" t="s">
        <v>26</v>
      </c>
      <c r="D316" t="s">
        <v>23</v>
      </c>
      <c r="E316" s="2">
        <v>45539</v>
      </c>
      <c r="F316" s="2">
        <v>45547</v>
      </c>
      <c r="G316" s="2"/>
      <c r="H316" s="3">
        <v>0.31</v>
      </c>
      <c r="I316" s="4">
        <v>6000</v>
      </c>
      <c r="J316" s="4">
        <v>3500</v>
      </c>
      <c r="K316" t="s">
        <v>19</v>
      </c>
      <c r="L316" s="4">
        <f t="shared" si="12"/>
        <v>2500</v>
      </c>
      <c r="M316" t="str">
        <f t="shared" si="13"/>
        <v>Within Budget</v>
      </c>
      <c r="N316">
        <f t="shared" ca="1" si="14"/>
        <v>739</v>
      </c>
    </row>
    <row r="317" spans="1:14" x14ac:dyDescent="0.25">
      <c r="A317" t="s">
        <v>42</v>
      </c>
      <c r="B317" t="s">
        <v>108</v>
      </c>
      <c r="C317" t="s">
        <v>106</v>
      </c>
      <c r="D317" t="s">
        <v>23</v>
      </c>
      <c r="E317" s="2">
        <v>45775</v>
      </c>
      <c r="F317" s="2">
        <v>45791</v>
      </c>
      <c r="G317" s="2"/>
      <c r="H317" s="3">
        <v>0.4</v>
      </c>
      <c r="I317" s="4">
        <v>29000</v>
      </c>
      <c r="J317" s="4">
        <v>10200</v>
      </c>
      <c r="K317" t="s">
        <v>65</v>
      </c>
      <c r="L317" s="4">
        <f t="shared" si="12"/>
        <v>18800</v>
      </c>
      <c r="M317" t="str">
        <f t="shared" si="13"/>
        <v>Within Budget</v>
      </c>
      <c r="N317">
        <f t="shared" ca="1" si="14"/>
        <v>495</v>
      </c>
    </row>
    <row r="318" spans="1:14" x14ac:dyDescent="0.25">
      <c r="A318" t="s">
        <v>29</v>
      </c>
      <c r="B318" t="s">
        <v>34</v>
      </c>
      <c r="C318" t="s">
        <v>100</v>
      </c>
      <c r="D318" t="s">
        <v>14</v>
      </c>
      <c r="E318" s="2">
        <v>45614</v>
      </c>
      <c r="F318" s="2">
        <v>45649</v>
      </c>
      <c r="G318" s="2"/>
      <c r="H318" s="3">
        <v>0.51</v>
      </c>
      <c r="I318" s="4">
        <v>67000</v>
      </c>
      <c r="J318" s="4">
        <v>74100</v>
      </c>
      <c r="K318" t="s">
        <v>19</v>
      </c>
      <c r="L318" s="4">
        <f t="shared" si="12"/>
        <v>-7100</v>
      </c>
      <c r="M318" t="str">
        <f t="shared" si="13"/>
        <v>Over Budget</v>
      </c>
      <c r="N318">
        <f t="shared" ca="1" si="14"/>
        <v>637</v>
      </c>
    </row>
    <row r="319" spans="1:14" x14ac:dyDescent="0.25">
      <c r="A319" t="s">
        <v>77</v>
      </c>
      <c r="B319" t="s">
        <v>101</v>
      </c>
      <c r="C319" t="s">
        <v>26</v>
      </c>
      <c r="D319" t="s">
        <v>14</v>
      </c>
      <c r="E319" s="2">
        <v>45740</v>
      </c>
      <c r="F319" s="2">
        <v>45760</v>
      </c>
      <c r="G319" s="2"/>
      <c r="H319" s="3">
        <v>0.56000000000000005</v>
      </c>
      <c r="I319" s="4">
        <v>42000</v>
      </c>
      <c r="J319" s="4">
        <v>22500</v>
      </c>
      <c r="K319" t="s">
        <v>65</v>
      </c>
      <c r="L319" s="4">
        <f t="shared" si="12"/>
        <v>19500</v>
      </c>
      <c r="M319" t="str">
        <f t="shared" si="13"/>
        <v>Within Budget</v>
      </c>
      <c r="N319">
        <f t="shared" ca="1" si="14"/>
        <v>526</v>
      </c>
    </row>
    <row r="320" spans="1:14" x14ac:dyDescent="0.25">
      <c r="A320" t="s">
        <v>16</v>
      </c>
      <c r="B320" t="s">
        <v>93</v>
      </c>
      <c r="C320" t="s">
        <v>61</v>
      </c>
      <c r="D320" t="s">
        <v>32</v>
      </c>
      <c r="E320" s="2">
        <v>45707</v>
      </c>
      <c r="F320" s="2">
        <v>45732</v>
      </c>
      <c r="G320" s="2"/>
      <c r="H320" s="3">
        <v>0.4</v>
      </c>
      <c r="I320" s="4">
        <v>38000</v>
      </c>
      <c r="J320" s="4">
        <v>15600</v>
      </c>
      <c r="K320" t="s">
        <v>65</v>
      </c>
      <c r="L320" s="4">
        <f t="shared" si="12"/>
        <v>22400</v>
      </c>
      <c r="M320" t="str">
        <f t="shared" si="13"/>
        <v>Within Budget</v>
      </c>
      <c r="N320">
        <f t="shared" ca="1" si="14"/>
        <v>554</v>
      </c>
    </row>
    <row r="321" spans="1:14" x14ac:dyDescent="0.25">
      <c r="A321" t="s">
        <v>121</v>
      </c>
      <c r="B321" t="s">
        <v>59</v>
      </c>
      <c r="C321" t="s">
        <v>97</v>
      </c>
      <c r="D321" t="s">
        <v>23</v>
      </c>
      <c r="E321" s="2">
        <v>45383</v>
      </c>
      <c r="F321" s="2">
        <v>45416</v>
      </c>
      <c r="G321" s="2">
        <v>45416</v>
      </c>
      <c r="H321" s="3">
        <v>1</v>
      </c>
      <c r="I321" s="4">
        <v>64000</v>
      </c>
      <c r="J321" s="4">
        <v>72100</v>
      </c>
      <c r="K321" t="s">
        <v>15</v>
      </c>
      <c r="L321" s="4">
        <f t="shared" si="12"/>
        <v>-8100</v>
      </c>
      <c r="M321" t="str">
        <f t="shared" si="13"/>
        <v>Over Budget</v>
      </c>
      <c r="N321">
        <f t="shared" ca="1" si="14"/>
        <v>0</v>
      </c>
    </row>
    <row r="322" spans="1:14" x14ac:dyDescent="0.25">
      <c r="A322" t="s">
        <v>29</v>
      </c>
      <c r="B322" t="s">
        <v>25</v>
      </c>
      <c r="C322" t="s">
        <v>97</v>
      </c>
      <c r="D322" t="s">
        <v>36</v>
      </c>
      <c r="E322" s="2">
        <v>45455</v>
      </c>
      <c r="F322" s="2">
        <v>45470</v>
      </c>
      <c r="G322" s="2">
        <v>45479</v>
      </c>
      <c r="H322" s="3">
        <v>1</v>
      </c>
      <c r="I322" s="4">
        <v>25000</v>
      </c>
      <c r="J322" s="4">
        <v>32200</v>
      </c>
      <c r="K322" t="s">
        <v>15</v>
      </c>
      <c r="L322" s="4">
        <f t="shared" si="12"/>
        <v>-7200</v>
      </c>
      <c r="M322" t="str">
        <f t="shared" si="13"/>
        <v>Over Budget</v>
      </c>
      <c r="N322">
        <f t="shared" ca="1" si="14"/>
        <v>9</v>
      </c>
    </row>
    <row r="323" spans="1:14" x14ac:dyDescent="0.25">
      <c r="A323" t="s">
        <v>29</v>
      </c>
      <c r="B323" t="s">
        <v>64</v>
      </c>
      <c r="C323" t="s">
        <v>41</v>
      </c>
      <c r="D323" t="s">
        <v>23</v>
      </c>
      <c r="E323" s="2">
        <v>45714</v>
      </c>
      <c r="F323" s="2">
        <v>45739</v>
      </c>
      <c r="G323" s="2"/>
      <c r="H323" s="3">
        <v>0.87</v>
      </c>
      <c r="I323" s="4">
        <v>33000</v>
      </c>
      <c r="J323" s="4">
        <v>32500</v>
      </c>
      <c r="K323" t="s">
        <v>65</v>
      </c>
      <c r="L323" s="4">
        <f t="shared" ref="L323:L386" si="15">I323-J323</f>
        <v>500</v>
      </c>
      <c r="M323" t="str">
        <f t="shared" ref="M323:M386" si="16">IF(L323&lt;0, "Over Budget", "Within Budget")</f>
        <v>Within Budget</v>
      </c>
      <c r="N323">
        <f t="shared" ref="N323:N386" ca="1" si="17">IF(G323="",TODAY()-F323,G323-F323)</f>
        <v>547</v>
      </c>
    </row>
    <row r="324" spans="1:14" x14ac:dyDescent="0.25">
      <c r="A324" t="s">
        <v>45</v>
      </c>
      <c r="B324" t="s">
        <v>30</v>
      </c>
      <c r="C324" t="s">
        <v>31</v>
      </c>
      <c r="D324" t="s">
        <v>14</v>
      </c>
      <c r="E324" s="2">
        <v>45464</v>
      </c>
      <c r="F324" s="2">
        <v>45483</v>
      </c>
      <c r="G324" s="2">
        <v>45488</v>
      </c>
      <c r="H324" s="3">
        <v>1</v>
      </c>
      <c r="I324" s="4">
        <v>36000</v>
      </c>
      <c r="J324" s="4">
        <v>32300</v>
      </c>
      <c r="K324" t="s">
        <v>15</v>
      </c>
      <c r="L324" s="4">
        <f t="shared" si="15"/>
        <v>3700</v>
      </c>
      <c r="M324" t="str">
        <f t="shared" si="16"/>
        <v>Within Budget</v>
      </c>
      <c r="N324">
        <f t="shared" ca="1" si="17"/>
        <v>5</v>
      </c>
    </row>
    <row r="325" spans="1:14" x14ac:dyDescent="0.25">
      <c r="A325" t="s">
        <v>121</v>
      </c>
      <c r="B325" t="s">
        <v>96</v>
      </c>
      <c r="C325" t="s">
        <v>13</v>
      </c>
      <c r="D325" t="s">
        <v>14</v>
      </c>
      <c r="E325" s="2">
        <v>45559</v>
      </c>
      <c r="F325" s="2">
        <v>45576</v>
      </c>
      <c r="G325" s="2">
        <v>45570</v>
      </c>
      <c r="H325" s="3">
        <v>1</v>
      </c>
      <c r="I325" s="4">
        <v>34000</v>
      </c>
      <c r="J325" s="4">
        <v>42500</v>
      </c>
      <c r="K325" t="s">
        <v>15</v>
      </c>
      <c r="L325" s="4">
        <f t="shared" si="15"/>
        <v>-8500</v>
      </c>
      <c r="M325" t="str">
        <f t="shared" si="16"/>
        <v>Over Budget</v>
      </c>
      <c r="N325">
        <f t="shared" ca="1" si="17"/>
        <v>-6</v>
      </c>
    </row>
    <row r="326" spans="1:14" x14ac:dyDescent="0.25">
      <c r="A326" t="s">
        <v>24</v>
      </c>
      <c r="B326" t="s">
        <v>125</v>
      </c>
      <c r="C326" t="s">
        <v>61</v>
      </c>
      <c r="D326" t="s">
        <v>36</v>
      </c>
      <c r="E326" s="2">
        <v>45557</v>
      </c>
      <c r="F326" s="2">
        <v>45563</v>
      </c>
      <c r="G326" s="2">
        <v>45553</v>
      </c>
      <c r="H326" s="3">
        <v>1</v>
      </c>
      <c r="I326" s="4">
        <v>3000</v>
      </c>
      <c r="J326" s="4">
        <v>3200</v>
      </c>
      <c r="K326" t="s">
        <v>15</v>
      </c>
      <c r="L326" s="4">
        <f t="shared" si="15"/>
        <v>-200</v>
      </c>
      <c r="M326" t="str">
        <f t="shared" si="16"/>
        <v>Over Budget</v>
      </c>
      <c r="N326">
        <f t="shared" ca="1" si="17"/>
        <v>-10</v>
      </c>
    </row>
    <row r="327" spans="1:14" x14ac:dyDescent="0.25">
      <c r="A327" t="s">
        <v>20</v>
      </c>
      <c r="B327" t="s">
        <v>114</v>
      </c>
      <c r="C327" t="s">
        <v>113</v>
      </c>
      <c r="D327" t="s">
        <v>36</v>
      </c>
      <c r="E327" s="2">
        <v>45346</v>
      </c>
      <c r="F327" s="2">
        <v>45361</v>
      </c>
      <c r="G327" s="2">
        <v>45401</v>
      </c>
      <c r="H327" s="3">
        <v>1</v>
      </c>
      <c r="I327" s="4">
        <v>15000</v>
      </c>
      <c r="J327" s="4">
        <v>15000</v>
      </c>
      <c r="K327" t="s">
        <v>15</v>
      </c>
      <c r="L327" s="4">
        <f t="shared" si="15"/>
        <v>0</v>
      </c>
      <c r="M327" t="str">
        <f t="shared" si="16"/>
        <v>Within Budget</v>
      </c>
      <c r="N327">
        <f t="shared" ca="1" si="17"/>
        <v>40</v>
      </c>
    </row>
    <row r="328" spans="1:14" x14ac:dyDescent="0.25">
      <c r="A328" t="s">
        <v>83</v>
      </c>
      <c r="B328" t="s">
        <v>30</v>
      </c>
      <c r="C328" t="s">
        <v>106</v>
      </c>
      <c r="D328" t="s">
        <v>36</v>
      </c>
      <c r="E328" s="2">
        <v>45372</v>
      </c>
      <c r="F328" s="2">
        <v>45398</v>
      </c>
      <c r="G328" s="2">
        <v>45428</v>
      </c>
      <c r="H328" s="3">
        <v>1</v>
      </c>
      <c r="I328" s="4">
        <v>24000</v>
      </c>
      <c r="J328" s="4">
        <v>21200</v>
      </c>
      <c r="K328" t="s">
        <v>15</v>
      </c>
      <c r="L328" s="4">
        <f t="shared" si="15"/>
        <v>2800</v>
      </c>
      <c r="M328" t="str">
        <f t="shared" si="16"/>
        <v>Within Budget</v>
      </c>
      <c r="N328">
        <f t="shared" ca="1" si="17"/>
        <v>30</v>
      </c>
    </row>
    <row r="329" spans="1:14" x14ac:dyDescent="0.25">
      <c r="A329" t="s">
        <v>55</v>
      </c>
      <c r="B329" t="s">
        <v>93</v>
      </c>
      <c r="C329" t="s">
        <v>39</v>
      </c>
      <c r="D329" t="s">
        <v>14</v>
      </c>
      <c r="E329" s="2">
        <v>45566</v>
      </c>
      <c r="F329" s="2">
        <v>45577</v>
      </c>
      <c r="G329" s="2">
        <v>45571</v>
      </c>
      <c r="H329" s="3">
        <v>0.25</v>
      </c>
      <c r="I329" s="4">
        <v>43000</v>
      </c>
      <c r="J329" s="4">
        <v>7400</v>
      </c>
      <c r="K329" t="s">
        <v>27</v>
      </c>
      <c r="L329" s="4">
        <f t="shared" si="15"/>
        <v>35600</v>
      </c>
      <c r="M329" t="str">
        <f t="shared" si="16"/>
        <v>Within Budget</v>
      </c>
      <c r="N329">
        <f t="shared" ca="1" si="17"/>
        <v>-6</v>
      </c>
    </row>
    <row r="330" spans="1:14" x14ac:dyDescent="0.25">
      <c r="A330" t="s">
        <v>121</v>
      </c>
      <c r="B330" t="s">
        <v>34</v>
      </c>
      <c r="C330" t="s">
        <v>18</v>
      </c>
      <c r="D330" t="s">
        <v>36</v>
      </c>
      <c r="E330" s="2">
        <v>45324</v>
      </c>
      <c r="F330" s="2">
        <v>45331</v>
      </c>
      <c r="G330" s="2"/>
      <c r="H330" s="3">
        <v>0.31</v>
      </c>
      <c r="I330" s="4">
        <v>2000</v>
      </c>
      <c r="J330" s="4">
        <v>2200</v>
      </c>
      <c r="K330" t="s">
        <v>19</v>
      </c>
      <c r="L330" s="4">
        <f t="shared" si="15"/>
        <v>-200</v>
      </c>
      <c r="M330" t="str">
        <f t="shared" si="16"/>
        <v>Over Budget</v>
      </c>
      <c r="N330">
        <f t="shared" ca="1" si="17"/>
        <v>955</v>
      </c>
    </row>
    <row r="331" spans="1:14" x14ac:dyDescent="0.25">
      <c r="A331" t="s">
        <v>62</v>
      </c>
      <c r="B331" t="s">
        <v>56</v>
      </c>
      <c r="C331" t="s">
        <v>18</v>
      </c>
      <c r="D331" t="s">
        <v>36</v>
      </c>
      <c r="E331" s="2">
        <v>45342</v>
      </c>
      <c r="F331" s="2">
        <v>45354</v>
      </c>
      <c r="G331" s="2">
        <v>45359</v>
      </c>
      <c r="H331" s="3">
        <v>1</v>
      </c>
      <c r="I331" s="4">
        <v>41000</v>
      </c>
      <c r="J331" s="4">
        <v>41800</v>
      </c>
      <c r="K331" t="s">
        <v>15</v>
      </c>
      <c r="L331" s="4">
        <f t="shared" si="15"/>
        <v>-800</v>
      </c>
      <c r="M331" t="str">
        <f t="shared" si="16"/>
        <v>Over Budget</v>
      </c>
      <c r="N331">
        <f t="shared" ca="1" si="17"/>
        <v>5</v>
      </c>
    </row>
    <row r="332" spans="1:14" x14ac:dyDescent="0.25">
      <c r="A332" t="s">
        <v>99</v>
      </c>
      <c r="B332" t="s">
        <v>74</v>
      </c>
      <c r="C332" t="s">
        <v>87</v>
      </c>
      <c r="D332" t="s">
        <v>14</v>
      </c>
      <c r="E332" s="2">
        <v>45469</v>
      </c>
      <c r="F332" s="2">
        <v>45481</v>
      </c>
      <c r="G332" s="2">
        <v>45477</v>
      </c>
      <c r="H332" s="3">
        <v>1</v>
      </c>
      <c r="I332" s="4">
        <v>13000</v>
      </c>
      <c r="J332" s="4">
        <v>14200</v>
      </c>
      <c r="K332" t="s">
        <v>15</v>
      </c>
      <c r="L332" s="4">
        <f t="shared" si="15"/>
        <v>-1200</v>
      </c>
      <c r="M332" t="str">
        <f t="shared" si="16"/>
        <v>Over Budget</v>
      </c>
      <c r="N332">
        <f t="shared" ca="1" si="17"/>
        <v>-4</v>
      </c>
    </row>
    <row r="333" spans="1:14" x14ac:dyDescent="0.25">
      <c r="A333" t="s">
        <v>120</v>
      </c>
      <c r="B333" t="s">
        <v>84</v>
      </c>
      <c r="C333" t="s">
        <v>67</v>
      </c>
      <c r="D333" t="s">
        <v>14</v>
      </c>
      <c r="E333" s="2">
        <v>45412</v>
      </c>
      <c r="F333" s="2">
        <v>45434</v>
      </c>
      <c r="G333" s="2"/>
      <c r="H333" s="3">
        <v>0.53</v>
      </c>
      <c r="I333" s="4">
        <v>43000</v>
      </c>
      <c r="J333" s="4">
        <v>29200</v>
      </c>
      <c r="K333" t="s">
        <v>19</v>
      </c>
      <c r="L333" s="4">
        <f t="shared" si="15"/>
        <v>13800</v>
      </c>
      <c r="M333" t="str">
        <f t="shared" si="16"/>
        <v>Within Budget</v>
      </c>
      <c r="N333">
        <f t="shared" ca="1" si="17"/>
        <v>852</v>
      </c>
    </row>
    <row r="334" spans="1:14" x14ac:dyDescent="0.25">
      <c r="A334" t="s">
        <v>68</v>
      </c>
      <c r="B334" t="s">
        <v>30</v>
      </c>
      <c r="C334" t="s">
        <v>47</v>
      </c>
      <c r="D334" t="s">
        <v>23</v>
      </c>
      <c r="E334" s="2">
        <v>45609</v>
      </c>
      <c r="F334" s="2">
        <v>45622</v>
      </c>
      <c r="G334" s="2">
        <v>45630</v>
      </c>
      <c r="H334" s="3">
        <v>1</v>
      </c>
      <c r="I334" s="4">
        <v>30000</v>
      </c>
      <c r="J334" s="4">
        <v>36000</v>
      </c>
      <c r="K334" t="s">
        <v>15</v>
      </c>
      <c r="L334" s="4">
        <f t="shared" si="15"/>
        <v>-6000</v>
      </c>
      <c r="M334" t="str">
        <f t="shared" si="16"/>
        <v>Over Budget</v>
      </c>
      <c r="N334">
        <f t="shared" ca="1" si="17"/>
        <v>8</v>
      </c>
    </row>
    <row r="335" spans="1:14" x14ac:dyDescent="0.25">
      <c r="A335" t="s">
        <v>120</v>
      </c>
      <c r="B335" t="s">
        <v>123</v>
      </c>
      <c r="C335" t="s">
        <v>26</v>
      </c>
      <c r="D335" t="s">
        <v>32</v>
      </c>
      <c r="E335" s="2">
        <v>45352</v>
      </c>
      <c r="F335" s="2">
        <v>45409</v>
      </c>
      <c r="G335" s="2">
        <v>45414</v>
      </c>
      <c r="H335" s="3">
        <v>1</v>
      </c>
      <c r="I335" s="4">
        <v>51000</v>
      </c>
      <c r="J335" s="4">
        <v>49600</v>
      </c>
      <c r="K335" t="s">
        <v>15</v>
      </c>
      <c r="L335" s="4">
        <f t="shared" si="15"/>
        <v>1400</v>
      </c>
      <c r="M335" t="str">
        <f t="shared" si="16"/>
        <v>Within Budget</v>
      </c>
      <c r="N335">
        <f t="shared" ca="1" si="17"/>
        <v>5</v>
      </c>
    </row>
    <row r="336" spans="1:14" x14ac:dyDescent="0.25">
      <c r="A336" t="s">
        <v>104</v>
      </c>
      <c r="B336" t="s">
        <v>122</v>
      </c>
      <c r="C336" t="s">
        <v>97</v>
      </c>
      <c r="D336" t="s">
        <v>23</v>
      </c>
      <c r="E336" s="2">
        <v>45568</v>
      </c>
      <c r="F336" s="2">
        <v>45599</v>
      </c>
      <c r="G336" s="2">
        <v>45627</v>
      </c>
      <c r="H336" s="3">
        <v>1</v>
      </c>
      <c r="I336" s="4">
        <v>79000</v>
      </c>
      <c r="J336" s="4">
        <v>68200</v>
      </c>
      <c r="K336" t="s">
        <v>15</v>
      </c>
      <c r="L336" s="4">
        <f t="shared" si="15"/>
        <v>10800</v>
      </c>
      <c r="M336" t="str">
        <f t="shared" si="16"/>
        <v>Within Budget</v>
      </c>
      <c r="N336">
        <f t="shared" ca="1" si="17"/>
        <v>28</v>
      </c>
    </row>
    <row r="337" spans="1:14" x14ac:dyDescent="0.25">
      <c r="A337" t="s">
        <v>62</v>
      </c>
      <c r="B337" t="s">
        <v>92</v>
      </c>
      <c r="C337" t="s">
        <v>22</v>
      </c>
      <c r="D337" t="s">
        <v>14</v>
      </c>
      <c r="E337" s="2">
        <v>45353</v>
      </c>
      <c r="F337" s="2">
        <v>45361</v>
      </c>
      <c r="G337" s="2">
        <v>45359</v>
      </c>
      <c r="H337" s="3">
        <v>1</v>
      </c>
      <c r="I337" s="4">
        <v>10000</v>
      </c>
      <c r="J337" s="4">
        <v>8900</v>
      </c>
      <c r="K337" t="s">
        <v>15</v>
      </c>
      <c r="L337" s="4">
        <f t="shared" si="15"/>
        <v>1100</v>
      </c>
      <c r="M337" t="str">
        <f t="shared" si="16"/>
        <v>Within Budget</v>
      </c>
      <c r="N337">
        <f t="shared" ca="1" si="17"/>
        <v>-2</v>
      </c>
    </row>
    <row r="338" spans="1:14" x14ac:dyDescent="0.25">
      <c r="A338" t="s">
        <v>118</v>
      </c>
      <c r="B338" t="s">
        <v>84</v>
      </c>
      <c r="C338" t="s">
        <v>18</v>
      </c>
      <c r="D338" t="s">
        <v>14</v>
      </c>
      <c r="E338" s="2">
        <v>45758</v>
      </c>
      <c r="F338" s="2">
        <v>45775</v>
      </c>
      <c r="G338" s="2"/>
      <c r="H338" s="3">
        <v>0</v>
      </c>
      <c r="I338" s="4">
        <v>45000</v>
      </c>
      <c r="J338" s="4">
        <v>0</v>
      </c>
      <c r="K338" t="s">
        <v>48</v>
      </c>
      <c r="L338" s="4">
        <f t="shared" si="15"/>
        <v>45000</v>
      </c>
      <c r="M338" t="str">
        <f t="shared" si="16"/>
        <v>Within Budget</v>
      </c>
      <c r="N338">
        <f t="shared" ca="1" si="17"/>
        <v>511</v>
      </c>
    </row>
    <row r="339" spans="1:14" x14ac:dyDescent="0.25">
      <c r="A339" t="s">
        <v>99</v>
      </c>
      <c r="B339" t="s">
        <v>74</v>
      </c>
      <c r="C339" t="s">
        <v>28</v>
      </c>
      <c r="D339" t="s">
        <v>14</v>
      </c>
      <c r="E339" s="2">
        <v>45309</v>
      </c>
      <c r="F339" s="2">
        <v>45344</v>
      </c>
      <c r="G339" s="2">
        <v>45319</v>
      </c>
      <c r="H339" s="3">
        <v>0.3</v>
      </c>
      <c r="I339" s="4">
        <v>90000</v>
      </c>
      <c r="J339" s="4">
        <v>35200</v>
      </c>
      <c r="K339" t="s">
        <v>27</v>
      </c>
      <c r="L339" s="4">
        <f t="shared" si="15"/>
        <v>54800</v>
      </c>
      <c r="M339" t="str">
        <f t="shared" si="16"/>
        <v>Within Budget</v>
      </c>
      <c r="N339">
        <f t="shared" ca="1" si="17"/>
        <v>-25</v>
      </c>
    </row>
    <row r="340" spans="1:14" x14ac:dyDescent="0.25">
      <c r="A340" t="s">
        <v>66</v>
      </c>
      <c r="B340" t="s">
        <v>78</v>
      </c>
      <c r="C340" t="s">
        <v>47</v>
      </c>
      <c r="D340" t="s">
        <v>36</v>
      </c>
      <c r="E340" s="2">
        <v>45647</v>
      </c>
      <c r="F340" s="2">
        <v>45680</v>
      </c>
      <c r="G340" s="2"/>
      <c r="H340" s="3">
        <v>0.85</v>
      </c>
      <c r="I340" s="4">
        <v>66000</v>
      </c>
      <c r="J340" s="4">
        <v>49400</v>
      </c>
      <c r="K340" t="s">
        <v>19</v>
      </c>
      <c r="L340" s="4">
        <f t="shared" si="15"/>
        <v>16600</v>
      </c>
      <c r="M340" t="str">
        <f t="shared" si="16"/>
        <v>Within Budget</v>
      </c>
      <c r="N340">
        <f t="shared" ca="1" si="17"/>
        <v>606</v>
      </c>
    </row>
    <row r="341" spans="1:14" x14ac:dyDescent="0.25">
      <c r="A341" t="s">
        <v>57</v>
      </c>
      <c r="B341" t="s">
        <v>74</v>
      </c>
      <c r="C341" t="s">
        <v>54</v>
      </c>
      <c r="D341" t="s">
        <v>14</v>
      </c>
      <c r="E341" s="2">
        <v>45564</v>
      </c>
      <c r="F341" s="2">
        <v>45575</v>
      </c>
      <c r="G341" s="2"/>
      <c r="H341" s="3">
        <v>0.33</v>
      </c>
      <c r="I341" s="4">
        <v>40000</v>
      </c>
      <c r="J341" s="4">
        <v>27100</v>
      </c>
      <c r="K341" t="s">
        <v>19</v>
      </c>
      <c r="L341" s="4">
        <f t="shared" si="15"/>
        <v>12900</v>
      </c>
      <c r="M341" t="str">
        <f t="shared" si="16"/>
        <v>Within Budget</v>
      </c>
      <c r="N341">
        <f t="shared" ca="1" si="17"/>
        <v>711</v>
      </c>
    </row>
    <row r="342" spans="1:14" x14ac:dyDescent="0.25">
      <c r="A342" t="s">
        <v>109</v>
      </c>
      <c r="B342" t="s">
        <v>46</v>
      </c>
      <c r="C342" t="s">
        <v>22</v>
      </c>
      <c r="D342" t="s">
        <v>14</v>
      </c>
      <c r="E342" s="2">
        <v>45495</v>
      </c>
      <c r="F342" s="2">
        <v>45526</v>
      </c>
      <c r="G342" s="2">
        <v>45498</v>
      </c>
      <c r="H342" s="3">
        <v>0.15</v>
      </c>
      <c r="I342" s="4">
        <v>68000</v>
      </c>
      <c r="J342" s="4">
        <v>18900</v>
      </c>
      <c r="K342" t="s">
        <v>27</v>
      </c>
      <c r="L342" s="4">
        <f t="shared" si="15"/>
        <v>49100</v>
      </c>
      <c r="M342" t="str">
        <f t="shared" si="16"/>
        <v>Within Budget</v>
      </c>
      <c r="N342">
        <f t="shared" ca="1" si="17"/>
        <v>-28</v>
      </c>
    </row>
    <row r="343" spans="1:14" x14ac:dyDescent="0.25">
      <c r="A343" t="s">
        <v>53</v>
      </c>
      <c r="B343" t="s">
        <v>51</v>
      </c>
      <c r="C343" t="s">
        <v>18</v>
      </c>
      <c r="D343" t="s">
        <v>14</v>
      </c>
      <c r="E343" s="2">
        <v>45692</v>
      </c>
      <c r="F343" s="2">
        <v>45702</v>
      </c>
      <c r="G343" s="2">
        <v>45707</v>
      </c>
      <c r="H343" s="3">
        <v>1</v>
      </c>
      <c r="I343" s="4">
        <v>13000</v>
      </c>
      <c r="J343" s="4">
        <v>16500</v>
      </c>
      <c r="K343" t="s">
        <v>15</v>
      </c>
      <c r="L343" s="4">
        <f t="shared" si="15"/>
        <v>-3500</v>
      </c>
      <c r="M343" t="str">
        <f t="shared" si="16"/>
        <v>Over Budget</v>
      </c>
      <c r="N343">
        <f t="shared" ca="1" si="17"/>
        <v>5</v>
      </c>
    </row>
    <row r="344" spans="1:14" x14ac:dyDescent="0.25">
      <c r="A344" t="s">
        <v>118</v>
      </c>
      <c r="B344" t="s">
        <v>49</v>
      </c>
      <c r="C344" t="s">
        <v>54</v>
      </c>
      <c r="D344" t="s">
        <v>14</v>
      </c>
      <c r="E344" s="2">
        <v>45705</v>
      </c>
      <c r="F344" s="2">
        <v>45730</v>
      </c>
      <c r="G344" s="2"/>
      <c r="H344" s="3">
        <v>0.17</v>
      </c>
      <c r="I344" s="4">
        <v>13000</v>
      </c>
      <c r="J344" s="4">
        <v>2200</v>
      </c>
      <c r="K344" t="s">
        <v>65</v>
      </c>
      <c r="L344" s="4">
        <f t="shared" si="15"/>
        <v>10800</v>
      </c>
      <c r="M344" t="str">
        <f t="shared" si="16"/>
        <v>Within Budget</v>
      </c>
      <c r="N344">
        <f t="shared" ca="1" si="17"/>
        <v>556</v>
      </c>
    </row>
    <row r="345" spans="1:14" x14ac:dyDescent="0.25">
      <c r="A345" t="s">
        <v>107</v>
      </c>
      <c r="B345" t="s">
        <v>58</v>
      </c>
      <c r="C345" t="s">
        <v>60</v>
      </c>
      <c r="D345" t="s">
        <v>23</v>
      </c>
      <c r="E345" s="2">
        <v>45822</v>
      </c>
      <c r="F345" s="2">
        <v>45843</v>
      </c>
      <c r="G345" s="2"/>
      <c r="H345" s="3">
        <v>0.28000000000000003</v>
      </c>
      <c r="I345" s="4">
        <v>47000</v>
      </c>
      <c r="J345" s="4">
        <v>10800</v>
      </c>
      <c r="K345" t="s">
        <v>65</v>
      </c>
      <c r="L345" s="4">
        <f t="shared" si="15"/>
        <v>36200</v>
      </c>
      <c r="M345" t="str">
        <f t="shared" si="16"/>
        <v>Within Budget</v>
      </c>
      <c r="N345">
        <f t="shared" ca="1" si="17"/>
        <v>443</v>
      </c>
    </row>
    <row r="346" spans="1:14" x14ac:dyDescent="0.25">
      <c r="A346" t="s">
        <v>45</v>
      </c>
      <c r="B346" t="s">
        <v>74</v>
      </c>
      <c r="C346" t="s">
        <v>67</v>
      </c>
      <c r="D346" t="s">
        <v>36</v>
      </c>
      <c r="E346" s="2">
        <v>45779</v>
      </c>
      <c r="F346" s="2">
        <v>45804</v>
      </c>
      <c r="G346" s="2"/>
      <c r="H346" s="3">
        <v>0</v>
      </c>
      <c r="I346" s="4">
        <v>48000</v>
      </c>
      <c r="J346" s="4">
        <v>0</v>
      </c>
      <c r="K346" t="s">
        <v>48</v>
      </c>
      <c r="L346" s="4">
        <f t="shared" si="15"/>
        <v>48000</v>
      </c>
      <c r="M346" t="str">
        <f t="shared" si="16"/>
        <v>Within Budget</v>
      </c>
      <c r="N346">
        <f t="shared" ca="1" si="17"/>
        <v>482</v>
      </c>
    </row>
    <row r="347" spans="1:14" x14ac:dyDescent="0.25">
      <c r="A347" t="s">
        <v>11</v>
      </c>
      <c r="B347" t="s">
        <v>117</v>
      </c>
      <c r="C347" t="s">
        <v>111</v>
      </c>
      <c r="D347" t="s">
        <v>14</v>
      </c>
      <c r="E347" s="2">
        <v>45534</v>
      </c>
      <c r="F347" s="2">
        <v>45561</v>
      </c>
      <c r="G347" s="2">
        <v>45562</v>
      </c>
      <c r="H347" s="3">
        <v>1</v>
      </c>
      <c r="I347" s="4">
        <v>19000</v>
      </c>
      <c r="J347" s="4">
        <v>21600</v>
      </c>
      <c r="K347" t="s">
        <v>15</v>
      </c>
      <c r="L347" s="4">
        <f t="shared" si="15"/>
        <v>-2600</v>
      </c>
      <c r="M347" t="str">
        <f t="shared" si="16"/>
        <v>Over Budget</v>
      </c>
      <c r="N347">
        <f t="shared" ca="1" si="17"/>
        <v>1</v>
      </c>
    </row>
    <row r="348" spans="1:14" x14ac:dyDescent="0.25">
      <c r="A348" t="s">
        <v>29</v>
      </c>
      <c r="B348" t="s">
        <v>63</v>
      </c>
      <c r="C348" t="s">
        <v>31</v>
      </c>
      <c r="D348" t="s">
        <v>36</v>
      </c>
      <c r="E348" s="2">
        <v>45672</v>
      </c>
      <c r="F348" s="2">
        <v>45682</v>
      </c>
      <c r="G348" s="2"/>
      <c r="H348" s="3">
        <v>0.13</v>
      </c>
      <c r="I348" s="4">
        <v>15000</v>
      </c>
      <c r="J348" s="4">
        <v>2200</v>
      </c>
      <c r="K348" t="s">
        <v>94</v>
      </c>
      <c r="L348" s="4">
        <f t="shared" si="15"/>
        <v>12800</v>
      </c>
      <c r="M348" t="str">
        <f t="shared" si="16"/>
        <v>Within Budget</v>
      </c>
      <c r="N348">
        <f t="shared" ca="1" si="17"/>
        <v>604</v>
      </c>
    </row>
    <row r="349" spans="1:14" x14ac:dyDescent="0.25">
      <c r="A349" t="s">
        <v>118</v>
      </c>
      <c r="B349" t="s">
        <v>73</v>
      </c>
      <c r="C349" t="s">
        <v>61</v>
      </c>
      <c r="D349" t="s">
        <v>36</v>
      </c>
      <c r="E349" s="2">
        <v>45313</v>
      </c>
      <c r="F349" s="2">
        <v>45389</v>
      </c>
      <c r="G349" s="2">
        <v>45333</v>
      </c>
      <c r="H349" s="3">
        <v>0.3</v>
      </c>
      <c r="I349" s="4">
        <v>67000</v>
      </c>
      <c r="J349" s="4">
        <v>17800</v>
      </c>
      <c r="K349" t="s">
        <v>27</v>
      </c>
      <c r="L349" s="4">
        <f t="shared" si="15"/>
        <v>49200</v>
      </c>
      <c r="M349" t="str">
        <f t="shared" si="16"/>
        <v>Within Budget</v>
      </c>
      <c r="N349">
        <f t="shared" ca="1" si="17"/>
        <v>-56</v>
      </c>
    </row>
    <row r="350" spans="1:14" x14ac:dyDescent="0.25">
      <c r="A350" t="s">
        <v>109</v>
      </c>
      <c r="B350" t="s">
        <v>78</v>
      </c>
      <c r="C350" t="s">
        <v>61</v>
      </c>
      <c r="D350" t="s">
        <v>32</v>
      </c>
      <c r="E350" s="2">
        <v>45534</v>
      </c>
      <c r="F350" s="2">
        <v>45568</v>
      </c>
      <c r="G350" s="2">
        <v>45573</v>
      </c>
      <c r="H350" s="3">
        <v>1</v>
      </c>
      <c r="I350" s="4">
        <v>72000</v>
      </c>
      <c r="J350" s="4">
        <v>88400</v>
      </c>
      <c r="K350" t="s">
        <v>15</v>
      </c>
      <c r="L350" s="4">
        <f t="shared" si="15"/>
        <v>-16400</v>
      </c>
      <c r="M350" t="str">
        <f t="shared" si="16"/>
        <v>Over Budget</v>
      </c>
      <c r="N350">
        <f t="shared" ca="1" si="17"/>
        <v>5</v>
      </c>
    </row>
    <row r="351" spans="1:14" x14ac:dyDescent="0.25">
      <c r="A351" t="s">
        <v>57</v>
      </c>
      <c r="B351" t="s">
        <v>119</v>
      </c>
      <c r="C351" t="s">
        <v>41</v>
      </c>
      <c r="D351" t="s">
        <v>23</v>
      </c>
      <c r="E351" s="2">
        <v>45774</v>
      </c>
      <c r="F351" s="2">
        <v>45809</v>
      </c>
      <c r="G351" s="2"/>
      <c r="H351" s="3">
        <v>0</v>
      </c>
      <c r="I351" s="4">
        <v>46000</v>
      </c>
      <c r="J351" s="4">
        <v>0</v>
      </c>
      <c r="K351" t="s">
        <v>48</v>
      </c>
      <c r="L351" s="4">
        <f t="shared" si="15"/>
        <v>46000</v>
      </c>
      <c r="M351" t="str">
        <f t="shared" si="16"/>
        <v>Within Budget</v>
      </c>
      <c r="N351">
        <f t="shared" ca="1" si="17"/>
        <v>477</v>
      </c>
    </row>
    <row r="352" spans="1:14" x14ac:dyDescent="0.25">
      <c r="A352" t="s">
        <v>99</v>
      </c>
      <c r="B352" t="s">
        <v>125</v>
      </c>
      <c r="C352" t="s">
        <v>97</v>
      </c>
      <c r="D352" t="s">
        <v>14</v>
      </c>
      <c r="E352" s="2">
        <v>45717</v>
      </c>
      <c r="F352" s="2">
        <v>45732</v>
      </c>
      <c r="G352" s="2"/>
      <c r="H352" s="3">
        <v>0.19</v>
      </c>
      <c r="I352" s="4">
        <v>50000</v>
      </c>
      <c r="J352" s="4">
        <v>9900</v>
      </c>
      <c r="K352" t="s">
        <v>65</v>
      </c>
      <c r="L352" s="4">
        <f t="shared" si="15"/>
        <v>40100</v>
      </c>
      <c r="M352" t="str">
        <f t="shared" si="16"/>
        <v>Within Budget</v>
      </c>
      <c r="N352">
        <f t="shared" ca="1" si="17"/>
        <v>554</v>
      </c>
    </row>
    <row r="353" spans="1:14" x14ac:dyDescent="0.25">
      <c r="A353" t="s">
        <v>66</v>
      </c>
      <c r="B353" t="s">
        <v>82</v>
      </c>
      <c r="C353" t="s">
        <v>112</v>
      </c>
      <c r="D353" t="s">
        <v>36</v>
      </c>
      <c r="E353" s="2">
        <v>45464</v>
      </c>
      <c r="F353" s="2">
        <v>45475</v>
      </c>
      <c r="G353" s="2">
        <v>45493</v>
      </c>
      <c r="H353" s="3">
        <v>1</v>
      </c>
      <c r="I353" s="4">
        <v>19000</v>
      </c>
      <c r="J353" s="4">
        <v>21400</v>
      </c>
      <c r="K353" t="s">
        <v>15</v>
      </c>
      <c r="L353" s="4">
        <f t="shared" si="15"/>
        <v>-2400</v>
      </c>
      <c r="M353" t="str">
        <f t="shared" si="16"/>
        <v>Over Budget</v>
      </c>
      <c r="N353">
        <f t="shared" ca="1" si="17"/>
        <v>18</v>
      </c>
    </row>
    <row r="354" spans="1:14" x14ac:dyDescent="0.25">
      <c r="A354" t="s">
        <v>91</v>
      </c>
      <c r="B354" t="s">
        <v>38</v>
      </c>
      <c r="C354" t="s">
        <v>44</v>
      </c>
      <c r="D354" t="s">
        <v>36</v>
      </c>
      <c r="E354" s="2">
        <v>45462</v>
      </c>
      <c r="F354" s="2">
        <v>45496</v>
      </c>
      <c r="G354" s="2">
        <v>45526</v>
      </c>
      <c r="H354" s="3">
        <v>1</v>
      </c>
      <c r="I354" s="4">
        <v>70000</v>
      </c>
      <c r="J354" s="4">
        <v>92800</v>
      </c>
      <c r="K354" t="s">
        <v>15</v>
      </c>
      <c r="L354" s="4">
        <f t="shared" si="15"/>
        <v>-22800</v>
      </c>
      <c r="M354" t="str">
        <f t="shared" si="16"/>
        <v>Over Budget</v>
      </c>
      <c r="N354">
        <f t="shared" ca="1" si="17"/>
        <v>30</v>
      </c>
    </row>
    <row r="355" spans="1:14" x14ac:dyDescent="0.25">
      <c r="A355" t="s">
        <v>91</v>
      </c>
      <c r="B355" t="s">
        <v>82</v>
      </c>
      <c r="C355" t="s">
        <v>111</v>
      </c>
      <c r="D355" t="s">
        <v>32</v>
      </c>
      <c r="E355" s="2">
        <v>45383</v>
      </c>
      <c r="F355" s="2">
        <v>45410</v>
      </c>
      <c r="G355" s="2"/>
      <c r="H355" s="3">
        <v>0.38</v>
      </c>
      <c r="I355" s="4">
        <v>11000</v>
      </c>
      <c r="J355" s="4">
        <v>12800</v>
      </c>
      <c r="K355" t="s">
        <v>19</v>
      </c>
      <c r="L355" s="4">
        <f t="shared" si="15"/>
        <v>-1800</v>
      </c>
      <c r="M355" t="str">
        <f t="shared" si="16"/>
        <v>Over Budget</v>
      </c>
      <c r="N355">
        <f t="shared" ca="1" si="17"/>
        <v>876</v>
      </c>
    </row>
    <row r="356" spans="1:14" x14ac:dyDescent="0.25">
      <c r="A356" t="s">
        <v>50</v>
      </c>
      <c r="B356" t="s">
        <v>58</v>
      </c>
      <c r="C356" t="s">
        <v>54</v>
      </c>
      <c r="D356" t="s">
        <v>14</v>
      </c>
      <c r="E356" s="2">
        <v>45431</v>
      </c>
      <c r="F356" s="2">
        <v>45455</v>
      </c>
      <c r="G356" s="2">
        <v>45438</v>
      </c>
      <c r="H356" s="3">
        <v>0.25</v>
      </c>
      <c r="I356" s="4">
        <v>20000</v>
      </c>
      <c r="J356" s="4">
        <v>7000</v>
      </c>
      <c r="K356" t="s">
        <v>27</v>
      </c>
      <c r="L356" s="4">
        <f t="shared" si="15"/>
        <v>13000</v>
      </c>
      <c r="M356" t="str">
        <f t="shared" si="16"/>
        <v>Within Budget</v>
      </c>
      <c r="N356">
        <f t="shared" ca="1" si="17"/>
        <v>-17</v>
      </c>
    </row>
    <row r="357" spans="1:14" x14ac:dyDescent="0.25">
      <c r="A357" t="s">
        <v>45</v>
      </c>
      <c r="B357" t="s">
        <v>124</v>
      </c>
      <c r="C357" t="s">
        <v>71</v>
      </c>
      <c r="D357" t="s">
        <v>14</v>
      </c>
      <c r="E357" s="2">
        <v>45528</v>
      </c>
      <c r="F357" s="2">
        <v>45566</v>
      </c>
      <c r="G357" s="2">
        <v>45540</v>
      </c>
      <c r="H357" s="3">
        <v>0.15</v>
      </c>
      <c r="I357" s="4">
        <v>58000</v>
      </c>
      <c r="J357" s="4">
        <v>8000</v>
      </c>
      <c r="K357" t="s">
        <v>27</v>
      </c>
      <c r="L357" s="4">
        <f t="shared" si="15"/>
        <v>50000</v>
      </c>
      <c r="M357" t="str">
        <f t="shared" si="16"/>
        <v>Within Budget</v>
      </c>
      <c r="N357">
        <f t="shared" ca="1" si="17"/>
        <v>-26</v>
      </c>
    </row>
    <row r="358" spans="1:14" x14ac:dyDescent="0.25">
      <c r="A358" t="s">
        <v>62</v>
      </c>
      <c r="B358" t="s">
        <v>125</v>
      </c>
      <c r="C358" t="s">
        <v>112</v>
      </c>
      <c r="D358" t="s">
        <v>32</v>
      </c>
      <c r="E358" s="2">
        <v>45822</v>
      </c>
      <c r="F358" s="2">
        <v>45829</v>
      </c>
      <c r="G358" s="2"/>
      <c r="H358" s="3">
        <v>0</v>
      </c>
      <c r="I358" s="4">
        <v>5000</v>
      </c>
      <c r="J358" s="4">
        <v>0</v>
      </c>
      <c r="K358" t="s">
        <v>48</v>
      </c>
      <c r="L358" s="4">
        <f t="shared" si="15"/>
        <v>5000</v>
      </c>
      <c r="M358" t="str">
        <f t="shared" si="16"/>
        <v>Within Budget</v>
      </c>
      <c r="N358">
        <f t="shared" ca="1" si="17"/>
        <v>457</v>
      </c>
    </row>
    <row r="359" spans="1:14" x14ac:dyDescent="0.25">
      <c r="A359" t="s">
        <v>118</v>
      </c>
      <c r="B359" t="s">
        <v>90</v>
      </c>
      <c r="C359" t="s">
        <v>54</v>
      </c>
      <c r="D359" t="s">
        <v>36</v>
      </c>
      <c r="E359" s="2">
        <v>45739</v>
      </c>
      <c r="F359" s="2">
        <v>45784</v>
      </c>
      <c r="G359" s="2"/>
      <c r="H359" s="3">
        <v>0</v>
      </c>
      <c r="I359" s="4">
        <v>92000</v>
      </c>
      <c r="J359" s="4">
        <v>0</v>
      </c>
      <c r="K359" t="s">
        <v>48</v>
      </c>
      <c r="L359" s="4">
        <f t="shared" si="15"/>
        <v>92000</v>
      </c>
      <c r="M359" t="str">
        <f t="shared" si="16"/>
        <v>Within Budget</v>
      </c>
      <c r="N359">
        <f t="shared" ca="1" si="17"/>
        <v>502</v>
      </c>
    </row>
    <row r="360" spans="1:14" x14ac:dyDescent="0.25">
      <c r="A360" t="s">
        <v>99</v>
      </c>
      <c r="B360" t="s">
        <v>73</v>
      </c>
      <c r="C360" t="s">
        <v>47</v>
      </c>
      <c r="D360" t="s">
        <v>23</v>
      </c>
      <c r="E360" s="2">
        <v>45397</v>
      </c>
      <c r="F360" s="2">
        <v>45453</v>
      </c>
      <c r="G360" s="2">
        <v>45410</v>
      </c>
      <c r="H360" s="3">
        <v>0.3</v>
      </c>
      <c r="I360" s="4">
        <v>52000</v>
      </c>
      <c r="J360" s="4">
        <v>4500</v>
      </c>
      <c r="K360" t="s">
        <v>27</v>
      </c>
      <c r="L360" s="4">
        <f t="shared" si="15"/>
        <v>47500</v>
      </c>
      <c r="M360" t="str">
        <f t="shared" si="16"/>
        <v>Within Budget</v>
      </c>
      <c r="N360">
        <f t="shared" ca="1" si="17"/>
        <v>-43</v>
      </c>
    </row>
    <row r="361" spans="1:14" x14ac:dyDescent="0.25">
      <c r="A361" t="s">
        <v>55</v>
      </c>
      <c r="B361" t="s">
        <v>40</v>
      </c>
      <c r="C361" t="s">
        <v>18</v>
      </c>
      <c r="D361" t="s">
        <v>14</v>
      </c>
      <c r="E361" s="2">
        <v>45624</v>
      </c>
      <c r="F361" s="2">
        <v>45643</v>
      </c>
      <c r="G361" s="2">
        <v>45643</v>
      </c>
      <c r="H361" s="3">
        <v>1</v>
      </c>
      <c r="I361" s="4">
        <v>19000</v>
      </c>
      <c r="J361" s="4">
        <v>25000</v>
      </c>
      <c r="K361" t="s">
        <v>15</v>
      </c>
      <c r="L361" s="4">
        <f t="shared" si="15"/>
        <v>-6000</v>
      </c>
      <c r="M361" t="str">
        <f t="shared" si="16"/>
        <v>Over Budget</v>
      </c>
      <c r="N361">
        <f t="shared" ca="1" si="17"/>
        <v>0</v>
      </c>
    </row>
    <row r="362" spans="1:14" x14ac:dyDescent="0.25">
      <c r="A362" t="s">
        <v>57</v>
      </c>
      <c r="B362" t="s">
        <v>93</v>
      </c>
      <c r="C362" t="s">
        <v>67</v>
      </c>
      <c r="D362" t="s">
        <v>14</v>
      </c>
      <c r="E362" s="2">
        <v>45622</v>
      </c>
      <c r="F362" s="2">
        <v>45633</v>
      </c>
      <c r="G362" s="2">
        <v>45628</v>
      </c>
      <c r="H362" s="3">
        <v>1</v>
      </c>
      <c r="I362" s="4">
        <v>44000</v>
      </c>
      <c r="J362" s="4">
        <v>49400</v>
      </c>
      <c r="K362" t="s">
        <v>15</v>
      </c>
      <c r="L362" s="4">
        <f t="shared" si="15"/>
        <v>-5400</v>
      </c>
      <c r="M362" t="str">
        <f t="shared" si="16"/>
        <v>Over Budget</v>
      </c>
      <c r="N362">
        <f t="shared" ca="1" si="17"/>
        <v>-5</v>
      </c>
    </row>
    <row r="363" spans="1:14" x14ac:dyDescent="0.25">
      <c r="A363" t="s">
        <v>103</v>
      </c>
      <c r="B363" t="s">
        <v>88</v>
      </c>
      <c r="C363" t="s">
        <v>97</v>
      </c>
      <c r="D363" t="s">
        <v>23</v>
      </c>
      <c r="E363" s="2">
        <v>45639</v>
      </c>
      <c r="F363" s="2">
        <v>45656</v>
      </c>
      <c r="G363" s="2">
        <v>45668</v>
      </c>
      <c r="H363" s="3">
        <v>1</v>
      </c>
      <c r="I363" s="4">
        <v>49000</v>
      </c>
      <c r="J363" s="4">
        <v>42400</v>
      </c>
      <c r="K363" t="s">
        <v>15</v>
      </c>
      <c r="L363" s="4">
        <f t="shared" si="15"/>
        <v>6600</v>
      </c>
      <c r="M363" t="str">
        <f t="shared" si="16"/>
        <v>Within Budget</v>
      </c>
      <c r="N363">
        <f t="shared" ca="1" si="17"/>
        <v>12</v>
      </c>
    </row>
    <row r="364" spans="1:14" x14ac:dyDescent="0.25">
      <c r="A364" t="s">
        <v>37</v>
      </c>
      <c r="B364" t="s">
        <v>115</v>
      </c>
      <c r="C364" t="s">
        <v>106</v>
      </c>
      <c r="D364" t="s">
        <v>14</v>
      </c>
      <c r="E364" s="2">
        <v>45551</v>
      </c>
      <c r="F364" s="2">
        <v>45564</v>
      </c>
      <c r="G364" s="2"/>
      <c r="H364" s="3">
        <v>0.84</v>
      </c>
      <c r="I364" s="4">
        <v>31000</v>
      </c>
      <c r="J364" s="4">
        <v>17900</v>
      </c>
      <c r="K364" t="s">
        <v>19</v>
      </c>
      <c r="L364" s="4">
        <f t="shared" si="15"/>
        <v>13100</v>
      </c>
      <c r="M364" t="str">
        <f t="shared" si="16"/>
        <v>Within Budget</v>
      </c>
      <c r="N364">
        <f t="shared" ca="1" si="17"/>
        <v>722</v>
      </c>
    </row>
    <row r="365" spans="1:14" x14ac:dyDescent="0.25">
      <c r="A365" t="s">
        <v>20</v>
      </c>
      <c r="B365" t="s">
        <v>125</v>
      </c>
      <c r="C365" t="s">
        <v>61</v>
      </c>
      <c r="D365" t="s">
        <v>23</v>
      </c>
      <c r="E365" s="2">
        <v>45670</v>
      </c>
      <c r="F365" s="2">
        <v>45676</v>
      </c>
      <c r="G365" s="2"/>
      <c r="H365" s="3">
        <v>0.36</v>
      </c>
      <c r="I365" s="4">
        <v>5000</v>
      </c>
      <c r="J365" s="4">
        <v>4400</v>
      </c>
      <c r="K365" t="s">
        <v>19</v>
      </c>
      <c r="L365" s="4">
        <f t="shared" si="15"/>
        <v>600</v>
      </c>
      <c r="M365" t="str">
        <f t="shared" si="16"/>
        <v>Within Budget</v>
      </c>
      <c r="N365">
        <f t="shared" ca="1" si="17"/>
        <v>610</v>
      </c>
    </row>
    <row r="366" spans="1:14" x14ac:dyDescent="0.25">
      <c r="A366" t="s">
        <v>79</v>
      </c>
      <c r="B366" t="s">
        <v>123</v>
      </c>
      <c r="C366" t="s">
        <v>97</v>
      </c>
      <c r="D366" t="s">
        <v>23</v>
      </c>
      <c r="E366" s="2">
        <v>45569</v>
      </c>
      <c r="F366" s="2">
        <v>45657</v>
      </c>
      <c r="G366" s="2"/>
      <c r="H366" s="3">
        <v>0.38</v>
      </c>
      <c r="I366" s="4">
        <v>168000</v>
      </c>
      <c r="J366" s="4">
        <v>177000</v>
      </c>
      <c r="K366" t="s">
        <v>19</v>
      </c>
      <c r="L366" s="4">
        <f t="shared" si="15"/>
        <v>-9000</v>
      </c>
      <c r="M366" t="str">
        <f t="shared" si="16"/>
        <v>Over Budget</v>
      </c>
      <c r="N366">
        <f t="shared" ca="1" si="17"/>
        <v>629</v>
      </c>
    </row>
    <row r="367" spans="1:14" x14ac:dyDescent="0.25">
      <c r="A367" t="s">
        <v>33</v>
      </c>
      <c r="B367" t="s">
        <v>58</v>
      </c>
      <c r="C367" t="s">
        <v>26</v>
      </c>
      <c r="D367" t="s">
        <v>14</v>
      </c>
      <c r="E367" s="2">
        <v>45451</v>
      </c>
      <c r="F367" s="2">
        <v>45469</v>
      </c>
      <c r="G367" s="2">
        <v>45472</v>
      </c>
      <c r="H367" s="3">
        <v>1</v>
      </c>
      <c r="I367" s="4">
        <v>40000</v>
      </c>
      <c r="J367" s="4">
        <v>46200</v>
      </c>
      <c r="K367" t="s">
        <v>15</v>
      </c>
      <c r="L367" s="4">
        <f t="shared" si="15"/>
        <v>-6200</v>
      </c>
      <c r="M367" t="str">
        <f t="shared" si="16"/>
        <v>Over Budget</v>
      </c>
      <c r="N367">
        <f t="shared" ca="1" si="17"/>
        <v>3</v>
      </c>
    </row>
    <row r="368" spans="1:14" x14ac:dyDescent="0.25">
      <c r="A368" t="s">
        <v>53</v>
      </c>
      <c r="B368" t="s">
        <v>89</v>
      </c>
      <c r="C368" t="s">
        <v>100</v>
      </c>
      <c r="D368" t="s">
        <v>23</v>
      </c>
      <c r="E368" s="2">
        <v>45781</v>
      </c>
      <c r="F368" s="2">
        <v>45798</v>
      </c>
      <c r="G368" s="2"/>
      <c r="H368" s="3">
        <v>0.39</v>
      </c>
      <c r="I368" s="4">
        <v>25000</v>
      </c>
      <c r="J368" s="4">
        <v>9700</v>
      </c>
      <c r="K368" t="s">
        <v>65</v>
      </c>
      <c r="L368" s="4">
        <f t="shared" si="15"/>
        <v>15300</v>
      </c>
      <c r="M368" t="str">
        <f t="shared" si="16"/>
        <v>Within Budget</v>
      </c>
      <c r="N368">
        <f t="shared" ca="1" si="17"/>
        <v>488</v>
      </c>
    </row>
    <row r="369" spans="1:14" x14ac:dyDescent="0.25">
      <c r="A369" t="s">
        <v>79</v>
      </c>
      <c r="B369" t="s">
        <v>56</v>
      </c>
      <c r="C369" t="s">
        <v>35</v>
      </c>
      <c r="D369" t="s">
        <v>36</v>
      </c>
      <c r="E369" s="2">
        <v>45475</v>
      </c>
      <c r="F369" s="2">
        <v>45492</v>
      </c>
      <c r="G369" s="2">
        <v>45517</v>
      </c>
      <c r="H369" s="3">
        <v>1</v>
      </c>
      <c r="I369" s="4">
        <v>18000</v>
      </c>
      <c r="J369" s="4">
        <v>19700</v>
      </c>
      <c r="K369" t="s">
        <v>15</v>
      </c>
      <c r="L369" s="4">
        <f t="shared" si="15"/>
        <v>-1700</v>
      </c>
      <c r="M369" t="str">
        <f t="shared" si="16"/>
        <v>Over Budget</v>
      </c>
      <c r="N369">
        <f t="shared" ca="1" si="17"/>
        <v>25</v>
      </c>
    </row>
    <row r="370" spans="1:14" x14ac:dyDescent="0.25">
      <c r="A370" t="s">
        <v>83</v>
      </c>
      <c r="B370" t="s">
        <v>49</v>
      </c>
      <c r="C370" t="s">
        <v>113</v>
      </c>
      <c r="D370" t="s">
        <v>14</v>
      </c>
      <c r="E370" s="2">
        <v>45423</v>
      </c>
      <c r="F370" s="2">
        <v>45433</v>
      </c>
      <c r="G370" s="2">
        <v>45452</v>
      </c>
      <c r="H370" s="3">
        <v>1</v>
      </c>
      <c r="I370" s="4">
        <v>8000</v>
      </c>
      <c r="J370" s="4">
        <v>7400</v>
      </c>
      <c r="K370" t="s">
        <v>15</v>
      </c>
      <c r="L370" s="4">
        <f t="shared" si="15"/>
        <v>600</v>
      </c>
      <c r="M370" t="str">
        <f t="shared" si="16"/>
        <v>Within Budget</v>
      </c>
      <c r="N370">
        <f t="shared" ca="1" si="17"/>
        <v>19</v>
      </c>
    </row>
    <row r="371" spans="1:14" x14ac:dyDescent="0.25">
      <c r="A371" t="s">
        <v>83</v>
      </c>
      <c r="B371" t="s">
        <v>124</v>
      </c>
      <c r="C371" t="s">
        <v>100</v>
      </c>
      <c r="D371" t="s">
        <v>14</v>
      </c>
      <c r="E371" s="2">
        <v>45421</v>
      </c>
      <c r="F371" s="2">
        <v>45452</v>
      </c>
      <c r="G371" s="2">
        <v>45463</v>
      </c>
      <c r="H371" s="3">
        <v>1</v>
      </c>
      <c r="I371" s="4">
        <v>73000</v>
      </c>
      <c r="J371" s="4">
        <v>96700</v>
      </c>
      <c r="K371" t="s">
        <v>15</v>
      </c>
      <c r="L371" s="4">
        <f t="shared" si="15"/>
        <v>-23700</v>
      </c>
      <c r="M371" t="str">
        <f t="shared" si="16"/>
        <v>Over Budget</v>
      </c>
      <c r="N371">
        <f t="shared" ca="1" si="17"/>
        <v>11</v>
      </c>
    </row>
    <row r="372" spans="1:14" x14ac:dyDescent="0.25">
      <c r="A372" t="s">
        <v>66</v>
      </c>
      <c r="B372" t="s">
        <v>80</v>
      </c>
      <c r="C372" t="s">
        <v>13</v>
      </c>
      <c r="D372" t="s">
        <v>23</v>
      </c>
      <c r="E372" s="2">
        <v>45762</v>
      </c>
      <c r="F372" s="2">
        <v>45775</v>
      </c>
      <c r="G372" s="2"/>
      <c r="H372" s="3">
        <v>0</v>
      </c>
      <c r="I372" s="4">
        <v>28000</v>
      </c>
      <c r="J372" s="4">
        <v>0</v>
      </c>
      <c r="K372" t="s">
        <v>48</v>
      </c>
      <c r="L372" s="4">
        <f t="shared" si="15"/>
        <v>28000</v>
      </c>
      <c r="M372" t="str">
        <f t="shared" si="16"/>
        <v>Within Budget</v>
      </c>
      <c r="N372">
        <f t="shared" ca="1" si="17"/>
        <v>511</v>
      </c>
    </row>
    <row r="373" spans="1:14" x14ac:dyDescent="0.25">
      <c r="A373" t="s">
        <v>91</v>
      </c>
      <c r="B373" t="s">
        <v>21</v>
      </c>
      <c r="C373" t="s">
        <v>105</v>
      </c>
      <c r="D373" t="s">
        <v>23</v>
      </c>
      <c r="E373" s="2">
        <v>45391</v>
      </c>
      <c r="F373" s="2">
        <v>45400</v>
      </c>
      <c r="G373" s="2">
        <v>45398</v>
      </c>
      <c r="H373" s="3">
        <v>1</v>
      </c>
      <c r="I373" s="4">
        <v>13000</v>
      </c>
      <c r="J373" s="4">
        <v>13100</v>
      </c>
      <c r="K373" t="s">
        <v>15</v>
      </c>
      <c r="L373" s="4">
        <f t="shared" si="15"/>
        <v>-100</v>
      </c>
      <c r="M373" t="str">
        <f t="shared" si="16"/>
        <v>Over Budget</v>
      </c>
      <c r="N373">
        <f t="shared" ca="1" si="17"/>
        <v>-2</v>
      </c>
    </row>
    <row r="374" spans="1:14" x14ac:dyDescent="0.25">
      <c r="A374" t="s">
        <v>72</v>
      </c>
      <c r="B374" t="s">
        <v>63</v>
      </c>
      <c r="C374" t="s">
        <v>106</v>
      </c>
      <c r="D374" t="s">
        <v>14</v>
      </c>
      <c r="E374" s="2">
        <v>45812</v>
      </c>
      <c r="F374" s="2">
        <v>45817</v>
      </c>
      <c r="G374" s="2"/>
      <c r="H374" s="3">
        <v>0.49</v>
      </c>
      <c r="I374" s="4">
        <v>7000</v>
      </c>
      <c r="J374" s="4">
        <v>4000</v>
      </c>
      <c r="K374" t="s">
        <v>65</v>
      </c>
      <c r="L374" s="4">
        <f t="shared" si="15"/>
        <v>3000</v>
      </c>
      <c r="M374" t="str">
        <f t="shared" si="16"/>
        <v>Within Budget</v>
      </c>
      <c r="N374">
        <f t="shared" ca="1" si="17"/>
        <v>469</v>
      </c>
    </row>
    <row r="375" spans="1:14" x14ac:dyDescent="0.25">
      <c r="A375" t="s">
        <v>50</v>
      </c>
      <c r="B375" t="s">
        <v>58</v>
      </c>
      <c r="C375" t="s">
        <v>13</v>
      </c>
      <c r="D375" t="s">
        <v>32</v>
      </c>
      <c r="E375" s="2">
        <v>45659</v>
      </c>
      <c r="F375" s="2">
        <v>45687</v>
      </c>
      <c r="G375" s="2"/>
      <c r="H375" s="3">
        <v>0.56999999999999995</v>
      </c>
      <c r="I375" s="4">
        <v>10000</v>
      </c>
      <c r="J375" s="4">
        <v>5500</v>
      </c>
      <c r="K375" t="s">
        <v>19</v>
      </c>
      <c r="L375" s="4">
        <f t="shared" si="15"/>
        <v>4500</v>
      </c>
      <c r="M375" t="str">
        <f t="shared" si="16"/>
        <v>Within Budget</v>
      </c>
      <c r="N375">
        <f t="shared" ca="1" si="17"/>
        <v>599</v>
      </c>
    </row>
    <row r="376" spans="1:14" x14ac:dyDescent="0.25">
      <c r="A376" t="s">
        <v>66</v>
      </c>
      <c r="B376" t="s">
        <v>84</v>
      </c>
      <c r="C376" t="s">
        <v>112</v>
      </c>
      <c r="D376" t="s">
        <v>14</v>
      </c>
      <c r="E376" s="2">
        <v>45703</v>
      </c>
      <c r="F376" s="2">
        <v>45727</v>
      </c>
      <c r="G376" s="2"/>
      <c r="H376" s="3">
        <v>0.82</v>
      </c>
      <c r="I376" s="4">
        <v>24000</v>
      </c>
      <c r="J376" s="4">
        <v>21500</v>
      </c>
      <c r="K376" t="s">
        <v>65</v>
      </c>
      <c r="L376" s="4">
        <f t="shared" si="15"/>
        <v>2500</v>
      </c>
      <c r="M376" t="str">
        <f t="shared" si="16"/>
        <v>Within Budget</v>
      </c>
      <c r="N376">
        <f t="shared" ca="1" si="17"/>
        <v>559</v>
      </c>
    </row>
    <row r="377" spans="1:14" x14ac:dyDescent="0.25">
      <c r="A377" t="s">
        <v>68</v>
      </c>
      <c r="B377" t="s">
        <v>74</v>
      </c>
      <c r="C377" t="s">
        <v>35</v>
      </c>
      <c r="D377" t="s">
        <v>23</v>
      </c>
      <c r="E377" s="2">
        <v>45770</v>
      </c>
      <c r="F377" s="2">
        <v>45779</v>
      </c>
      <c r="G377" s="2"/>
      <c r="H377" s="3">
        <v>0</v>
      </c>
      <c r="I377" s="4">
        <v>3000</v>
      </c>
      <c r="J377" s="4">
        <v>0</v>
      </c>
      <c r="K377" t="s">
        <v>48</v>
      </c>
      <c r="L377" s="4">
        <f t="shared" si="15"/>
        <v>3000</v>
      </c>
      <c r="M377" t="str">
        <f t="shared" si="16"/>
        <v>Within Budget</v>
      </c>
      <c r="N377">
        <f t="shared" ca="1" si="17"/>
        <v>507</v>
      </c>
    </row>
    <row r="378" spans="1:14" x14ac:dyDescent="0.25">
      <c r="A378" t="s">
        <v>91</v>
      </c>
      <c r="B378" t="s">
        <v>96</v>
      </c>
      <c r="C378" t="s">
        <v>71</v>
      </c>
      <c r="D378" t="s">
        <v>23</v>
      </c>
      <c r="E378" s="2">
        <v>45561</v>
      </c>
      <c r="F378" s="2">
        <v>45581</v>
      </c>
      <c r="G378" s="2">
        <v>45591</v>
      </c>
      <c r="H378" s="3">
        <v>1</v>
      </c>
      <c r="I378" s="4">
        <v>35000</v>
      </c>
      <c r="J378" s="4">
        <v>42500</v>
      </c>
      <c r="K378" t="s">
        <v>15</v>
      </c>
      <c r="L378" s="4">
        <f t="shared" si="15"/>
        <v>-7500</v>
      </c>
      <c r="M378" t="str">
        <f t="shared" si="16"/>
        <v>Over Budget</v>
      </c>
      <c r="N378">
        <f t="shared" ca="1" si="17"/>
        <v>10</v>
      </c>
    </row>
    <row r="379" spans="1:14" x14ac:dyDescent="0.25">
      <c r="A379" t="s">
        <v>66</v>
      </c>
      <c r="B379" t="s">
        <v>125</v>
      </c>
      <c r="C379" t="s">
        <v>106</v>
      </c>
      <c r="D379" t="s">
        <v>36</v>
      </c>
      <c r="E379" s="2">
        <v>45817</v>
      </c>
      <c r="F379" s="2">
        <v>45827</v>
      </c>
      <c r="G379" s="2"/>
      <c r="H379" s="3">
        <v>0</v>
      </c>
      <c r="I379" s="4">
        <v>14000</v>
      </c>
      <c r="J379" s="4">
        <v>0</v>
      </c>
      <c r="K379" t="s">
        <v>48</v>
      </c>
      <c r="L379" s="4">
        <f t="shared" si="15"/>
        <v>14000</v>
      </c>
      <c r="M379" t="str">
        <f t="shared" si="16"/>
        <v>Within Budget</v>
      </c>
      <c r="N379">
        <f t="shared" ca="1" si="17"/>
        <v>459</v>
      </c>
    </row>
    <row r="380" spans="1:14" x14ac:dyDescent="0.25">
      <c r="A380" t="s">
        <v>37</v>
      </c>
      <c r="B380" t="s">
        <v>63</v>
      </c>
      <c r="C380" t="s">
        <v>100</v>
      </c>
      <c r="D380" t="s">
        <v>23</v>
      </c>
      <c r="E380" s="2">
        <v>45683</v>
      </c>
      <c r="F380" s="2">
        <v>45698</v>
      </c>
      <c r="G380" s="2">
        <v>45690</v>
      </c>
      <c r="H380" s="3">
        <v>1</v>
      </c>
      <c r="I380" s="4">
        <v>39000</v>
      </c>
      <c r="J380" s="4">
        <v>35800</v>
      </c>
      <c r="K380" t="s">
        <v>15</v>
      </c>
      <c r="L380" s="4">
        <f t="shared" si="15"/>
        <v>3200</v>
      </c>
      <c r="M380" t="str">
        <f t="shared" si="16"/>
        <v>Within Budget</v>
      </c>
      <c r="N380">
        <f t="shared" ca="1" si="17"/>
        <v>-8</v>
      </c>
    </row>
    <row r="381" spans="1:14" x14ac:dyDescent="0.25">
      <c r="A381" t="s">
        <v>118</v>
      </c>
      <c r="B381" t="s">
        <v>21</v>
      </c>
      <c r="C381" t="s">
        <v>97</v>
      </c>
      <c r="D381" t="s">
        <v>23</v>
      </c>
      <c r="E381" s="2">
        <v>45759</v>
      </c>
      <c r="F381" s="2">
        <v>45785</v>
      </c>
      <c r="G381" s="2"/>
      <c r="H381" s="3">
        <v>0</v>
      </c>
      <c r="I381" s="4">
        <v>16000</v>
      </c>
      <c r="J381" s="4">
        <v>0</v>
      </c>
      <c r="K381" t="s">
        <v>48</v>
      </c>
      <c r="L381" s="4">
        <f t="shared" si="15"/>
        <v>16000</v>
      </c>
      <c r="M381" t="str">
        <f t="shared" si="16"/>
        <v>Within Budget</v>
      </c>
      <c r="N381">
        <f t="shared" ca="1" si="17"/>
        <v>501</v>
      </c>
    </row>
    <row r="382" spans="1:14" x14ac:dyDescent="0.25">
      <c r="A382" t="s">
        <v>121</v>
      </c>
      <c r="B382" t="s">
        <v>69</v>
      </c>
      <c r="C382" t="s">
        <v>105</v>
      </c>
      <c r="D382" t="s">
        <v>36</v>
      </c>
      <c r="E382" s="2">
        <v>45744</v>
      </c>
      <c r="F382" s="2">
        <v>45778</v>
      </c>
      <c r="G382" s="2"/>
      <c r="H382" s="3">
        <v>0.95</v>
      </c>
      <c r="I382" s="4">
        <v>55000</v>
      </c>
      <c r="J382" s="4">
        <v>51700</v>
      </c>
      <c r="K382" t="s">
        <v>65</v>
      </c>
      <c r="L382" s="4">
        <f t="shared" si="15"/>
        <v>3300</v>
      </c>
      <c r="M382" t="str">
        <f t="shared" si="16"/>
        <v>Within Budget</v>
      </c>
      <c r="N382">
        <f t="shared" ca="1" si="17"/>
        <v>508</v>
      </c>
    </row>
    <row r="383" spans="1:14" x14ac:dyDescent="0.25">
      <c r="A383" t="s">
        <v>81</v>
      </c>
      <c r="B383" t="s">
        <v>46</v>
      </c>
      <c r="C383" t="s">
        <v>41</v>
      </c>
      <c r="D383" t="s">
        <v>14</v>
      </c>
      <c r="E383" s="2">
        <v>45446</v>
      </c>
      <c r="F383" s="2">
        <v>45466</v>
      </c>
      <c r="G383" s="2">
        <v>45510</v>
      </c>
      <c r="H383" s="3">
        <v>1</v>
      </c>
      <c r="I383" s="4">
        <v>45000</v>
      </c>
      <c r="J383" s="4">
        <v>43400</v>
      </c>
      <c r="K383" t="s">
        <v>15</v>
      </c>
      <c r="L383" s="4">
        <f t="shared" si="15"/>
        <v>1600</v>
      </c>
      <c r="M383" t="str">
        <f t="shared" si="16"/>
        <v>Within Budget</v>
      </c>
      <c r="N383">
        <f t="shared" ca="1" si="17"/>
        <v>44</v>
      </c>
    </row>
    <row r="384" spans="1:14" x14ac:dyDescent="0.25">
      <c r="A384" t="s">
        <v>81</v>
      </c>
      <c r="B384" t="s">
        <v>92</v>
      </c>
      <c r="C384" t="s">
        <v>113</v>
      </c>
      <c r="D384" t="s">
        <v>14</v>
      </c>
      <c r="E384" s="2">
        <v>45505</v>
      </c>
      <c r="F384" s="2">
        <v>45538</v>
      </c>
      <c r="G384" s="2">
        <v>45538</v>
      </c>
      <c r="H384" s="3">
        <v>1</v>
      </c>
      <c r="I384" s="4">
        <v>80000</v>
      </c>
      <c r="J384" s="4">
        <v>70400</v>
      </c>
      <c r="K384" t="s">
        <v>15</v>
      </c>
      <c r="L384" s="4">
        <f t="shared" si="15"/>
        <v>9600</v>
      </c>
      <c r="M384" t="str">
        <f t="shared" si="16"/>
        <v>Within Budget</v>
      </c>
      <c r="N384">
        <f t="shared" ca="1" si="17"/>
        <v>0</v>
      </c>
    </row>
    <row r="385" spans="1:14" x14ac:dyDescent="0.25">
      <c r="A385" t="s">
        <v>81</v>
      </c>
      <c r="B385" t="s">
        <v>40</v>
      </c>
      <c r="C385" t="s">
        <v>112</v>
      </c>
      <c r="D385" t="s">
        <v>36</v>
      </c>
      <c r="E385" s="2">
        <v>45445</v>
      </c>
      <c r="F385" s="2">
        <v>45465</v>
      </c>
      <c r="G385" s="2">
        <v>45470</v>
      </c>
      <c r="H385" s="3">
        <v>1</v>
      </c>
      <c r="I385" s="4">
        <v>16000</v>
      </c>
      <c r="J385" s="4">
        <v>13700</v>
      </c>
      <c r="K385" t="s">
        <v>15</v>
      </c>
      <c r="L385" s="4">
        <f t="shared" si="15"/>
        <v>2300</v>
      </c>
      <c r="M385" t="str">
        <f t="shared" si="16"/>
        <v>Within Budget</v>
      </c>
      <c r="N385">
        <f t="shared" ca="1" si="17"/>
        <v>5</v>
      </c>
    </row>
    <row r="386" spans="1:14" x14ac:dyDescent="0.25">
      <c r="A386" t="s">
        <v>91</v>
      </c>
      <c r="B386" t="s">
        <v>38</v>
      </c>
      <c r="C386" t="s">
        <v>41</v>
      </c>
      <c r="D386" t="s">
        <v>36</v>
      </c>
      <c r="E386" s="2">
        <v>45377</v>
      </c>
      <c r="F386" s="2">
        <v>45408</v>
      </c>
      <c r="G386" s="2">
        <v>45443</v>
      </c>
      <c r="H386" s="3">
        <v>1</v>
      </c>
      <c r="I386" s="4">
        <v>90000</v>
      </c>
      <c r="J386" s="4">
        <v>102100</v>
      </c>
      <c r="K386" t="s">
        <v>15</v>
      </c>
      <c r="L386" s="4">
        <f t="shared" si="15"/>
        <v>-12100</v>
      </c>
      <c r="M386" t="str">
        <f t="shared" si="16"/>
        <v>Over Budget</v>
      </c>
      <c r="N386">
        <f t="shared" ca="1" si="17"/>
        <v>35</v>
      </c>
    </row>
    <row r="387" spans="1:14" x14ac:dyDescent="0.25">
      <c r="A387" t="s">
        <v>29</v>
      </c>
      <c r="B387" t="s">
        <v>46</v>
      </c>
      <c r="C387" t="s">
        <v>44</v>
      </c>
      <c r="D387" t="s">
        <v>36</v>
      </c>
      <c r="E387" s="2">
        <v>45450</v>
      </c>
      <c r="F387" s="2">
        <v>45457</v>
      </c>
      <c r="G387" s="2">
        <v>45457</v>
      </c>
      <c r="H387" s="3">
        <v>1</v>
      </c>
      <c r="I387" s="4">
        <v>8000</v>
      </c>
      <c r="J387" s="4">
        <v>10000</v>
      </c>
      <c r="K387" t="s">
        <v>15</v>
      </c>
      <c r="L387" s="4">
        <f t="shared" ref="L387:L450" si="18">I387-J387</f>
        <v>-2000</v>
      </c>
      <c r="M387" t="str">
        <f t="shared" ref="M387:M450" si="19">IF(L387&lt;0, "Over Budget", "Within Budget")</f>
        <v>Over Budget</v>
      </c>
      <c r="N387">
        <f t="shared" ref="N387:N450" ca="1" si="20">IF(G387="",TODAY()-F387,G387-F387)</f>
        <v>0</v>
      </c>
    </row>
    <row r="388" spans="1:14" x14ac:dyDescent="0.25">
      <c r="A388" t="s">
        <v>107</v>
      </c>
      <c r="B388" t="s">
        <v>115</v>
      </c>
      <c r="C388" t="s">
        <v>112</v>
      </c>
      <c r="D388" t="s">
        <v>23</v>
      </c>
      <c r="E388" s="2">
        <v>45602</v>
      </c>
      <c r="F388" s="2">
        <v>45611</v>
      </c>
      <c r="G388" s="2">
        <v>45627</v>
      </c>
      <c r="H388" s="3">
        <v>1</v>
      </c>
      <c r="I388" s="4">
        <v>2000</v>
      </c>
      <c r="J388" s="4">
        <v>1900</v>
      </c>
      <c r="K388" t="s">
        <v>15</v>
      </c>
      <c r="L388" s="4">
        <f t="shared" si="18"/>
        <v>100</v>
      </c>
      <c r="M388" t="str">
        <f t="shared" si="19"/>
        <v>Within Budget</v>
      </c>
      <c r="N388">
        <f t="shared" ca="1" si="20"/>
        <v>16</v>
      </c>
    </row>
    <row r="389" spans="1:14" x14ac:dyDescent="0.25">
      <c r="A389" t="s">
        <v>53</v>
      </c>
      <c r="B389" t="s">
        <v>82</v>
      </c>
      <c r="C389" t="s">
        <v>87</v>
      </c>
      <c r="D389" t="s">
        <v>14</v>
      </c>
      <c r="E389" s="2">
        <v>45681</v>
      </c>
      <c r="F389" s="2">
        <v>45707</v>
      </c>
      <c r="G389" s="2"/>
      <c r="H389" s="3">
        <v>0.56000000000000005</v>
      </c>
      <c r="I389" s="4">
        <v>31000</v>
      </c>
      <c r="J389" s="4">
        <v>5200</v>
      </c>
      <c r="K389" t="s">
        <v>94</v>
      </c>
      <c r="L389" s="4">
        <f t="shared" si="18"/>
        <v>25800</v>
      </c>
      <c r="M389" t="str">
        <f t="shared" si="19"/>
        <v>Within Budget</v>
      </c>
      <c r="N389">
        <f t="shared" ca="1" si="20"/>
        <v>579</v>
      </c>
    </row>
    <row r="390" spans="1:14" x14ac:dyDescent="0.25">
      <c r="A390" t="s">
        <v>79</v>
      </c>
      <c r="B390" t="s">
        <v>101</v>
      </c>
      <c r="C390" t="s">
        <v>61</v>
      </c>
      <c r="D390" t="s">
        <v>14</v>
      </c>
      <c r="E390" s="2">
        <v>45730</v>
      </c>
      <c r="F390" s="2">
        <v>45755</v>
      </c>
      <c r="G390" s="2"/>
      <c r="H390" s="3">
        <v>0.56999999999999995</v>
      </c>
      <c r="I390" s="4">
        <v>37000</v>
      </c>
      <c r="J390" s="4">
        <v>22600</v>
      </c>
      <c r="K390" t="s">
        <v>65</v>
      </c>
      <c r="L390" s="4">
        <f t="shared" si="18"/>
        <v>14400</v>
      </c>
      <c r="M390" t="str">
        <f t="shared" si="19"/>
        <v>Within Budget</v>
      </c>
      <c r="N390">
        <f t="shared" ca="1" si="20"/>
        <v>531</v>
      </c>
    </row>
    <row r="391" spans="1:14" x14ac:dyDescent="0.25">
      <c r="A391" t="s">
        <v>45</v>
      </c>
      <c r="B391" t="s">
        <v>30</v>
      </c>
      <c r="C391" t="s">
        <v>39</v>
      </c>
      <c r="D391" t="s">
        <v>14</v>
      </c>
      <c r="E391" s="2">
        <v>45301</v>
      </c>
      <c r="F391" s="2">
        <v>45336</v>
      </c>
      <c r="G391" s="2"/>
      <c r="H391" s="3">
        <v>0.71</v>
      </c>
      <c r="I391" s="4">
        <v>60000</v>
      </c>
      <c r="J391" s="4">
        <v>70000</v>
      </c>
      <c r="K391" t="s">
        <v>19</v>
      </c>
      <c r="L391" s="4">
        <f t="shared" si="18"/>
        <v>-10000</v>
      </c>
      <c r="M391" t="str">
        <f t="shared" si="19"/>
        <v>Over Budget</v>
      </c>
      <c r="N391">
        <f t="shared" ca="1" si="20"/>
        <v>950</v>
      </c>
    </row>
    <row r="392" spans="1:14" x14ac:dyDescent="0.25">
      <c r="A392" t="s">
        <v>62</v>
      </c>
      <c r="B392" t="s">
        <v>108</v>
      </c>
      <c r="C392" t="s">
        <v>97</v>
      </c>
      <c r="D392" t="s">
        <v>14</v>
      </c>
      <c r="E392" s="2">
        <v>45408</v>
      </c>
      <c r="F392" s="2">
        <v>45433</v>
      </c>
      <c r="G392" s="2">
        <v>45454</v>
      </c>
      <c r="H392" s="3">
        <v>1</v>
      </c>
      <c r="I392" s="4">
        <v>17000</v>
      </c>
      <c r="J392" s="4">
        <v>14500</v>
      </c>
      <c r="K392" t="s">
        <v>15</v>
      </c>
      <c r="L392" s="4">
        <f t="shared" si="18"/>
        <v>2500</v>
      </c>
      <c r="M392" t="str">
        <f t="shared" si="19"/>
        <v>Within Budget</v>
      </c>
      <c r="N392">
        <f t="shared" ca="1" si="20"/>
        <v>21</v>
      </c>
    </row>
    <row r="393" spans="1:14" x14ac:dyDescent="0.25">
      <c r="A393" t="s">
        <v>53</v>
      </c>
      <c r="B393" t="s">
        <v>102</v>
      </c>
      <c r="C393" t="s">
        <v>41</v>
      </c>
      <c r="D393" t="s">
        <v>36</v>
      </c>
      <c r="E393" s="2">
        <v>45358</v>
      </c>
      <c r="F393" s="2">
        <v>45363</v>
      </c>
      <c r="G393" s="2"/>
      <c r="H393" s="3">
        <v>0.65</v>
      </c>
      <c r="I393" s="4">
        <v>5000</v>
      </c>
      <c r="J393" s="4">
        <v>4500</v>
      </c>
      <c r="K393" t="s">
        <v>19</v>
      </c>
      <c r="L393" s="4">
        <f t="shared" si="18"/>
        <v>500</v>
      </c>
      <c r="M393" t="str">
        <f t="shared" si="19"/>
        <v>Within Budget</v>
      </c>
      <c r="N393">
        <f t="shared" ca="1" si="20"/>
        <v>923</v>
      </c>
    </row>
    <row r="394" spans="1:14" x14ac:dyDescent="0.25">
      <c r="A394" t="s">
        <v>42</v>
      </c>
      <c r="B394" t="s">
        <v>78</v>
      </c>
      <c r="C394" t="s">
        <v>47</v>
      </c>
      <c r="D394" t="s">
        <v>36</v>
      </c>
      <c r="E394" s="2">
        <v>45451</v>
      </c>
      <c r="F394" s="2">
        <v>45485</v>
      </c>
      <c r="G394" s="2">
        <v>45503</v>
      </c>
      <c r="H394" s="3">
        <v>1</v>
      </c>
      <c r="I394" s="4">
        <v>74000</v>
      </c>
      <c r="J394" s="4">
        <v>63200</v>
      </c>
      <c r="K394" t="s">
        <v>15</v>
      </c>
      <c r="L394" s="4">
        <f t="shared" si="18"/>
        <v>10800</v>
      </c>
      <c r="M394" t="str">
        <f t="shared" si="19"/>
        <v>Within Budget</v>
      </c>
      <c r="N394">
        <f t="shared" ca="1" si="20"/>
        <v>18</v>
      </c>
    </row>
    <row r="395" spans="1:14" x14ac:dyDescent="0.25">
      <c r="A395" t="s">
        <v>24</v>
      </c>
      <c r="B395" t="s">
        <v>58</v>
      </c>
      <c r="C395" t="s">
        <v>52</v>
      </c>
      <c r="D395" t="s">
        <v>14</v>
      </c>
      <c r="E395" s="2">
        <v>45565</v>
      </c>
      <c r="F395" s="2">
        <v>45577</v>
      </c>
      <c r="G395" s="2">
        <v>45587</v>
      </c>
      <c r="H395" s="3">
        <v>1</v>
      </c>
      <c r="I395" s="4">
        <v>10000</v>
      </c>
      <c r="J395" s="4">
        <v>12200</v>
      </c>
      <c r="K395" t="s">
        <v>15</v>
      </c>
      <c r="L395" s="4">
        <f t="shared" si="18"/>
        <v>-2200</v>
      </c>
      <c r="M395" t="str">
        <f t="shared" si="19"/>
        <v>Over Budget</v>
      </c>
      <c r="N395">
        <f t="shared" ca="1" si="20"/>
        <v>10</v>
      </c>
    </row>
    <row r="396" spans="1:14" x14ac:dyDescent="0.25">
      <c r="A396" t="s">
        <v>42</v>
      </c>
      <c r="B396" t="s">
        <v>123</v>
      </c>
      <c r="C396" t="s">
        <v>67</v>
      </c>
      <c r="D396" t="s">
        <v>14</v>
      </c>
      <c r="E396" s="2">
        <v>45733</v>
      </c>
      <c r="F396" s="2">
        <v>45765</v>
      </c>
      <c r="G396" s="2"/>
      <c r="H396" s="3">
        <v>0</v>
      </c>
      <c r="I396" s="4">
        <v>75000</v>
      </c>
      <c r="J396" s="4">
        <v>0</v>
      </c>
      <c r="K396" t="s">
        <v>48</v>
      </c>
      <c r="L396" s="4">
        <f t="shared" si="18"/>
        <v>75000</v>
      </c>
      <c r="M396" t="str">
        <f t="shared" si="19"/>
        <v>Within Budget</v>
      </c>
      <c r="N396">
        <f t="shared" ca="1" si="20"/>
        <v>521</v>
      </c>
    </row>
    <row r="397" spans="1:14" x14ac:dyDescent="0.25">
      <c r="A397" t="s">
        <v>33</v>
      </c>
      <c r="B397" t="s">
        <v>102</v>
      </c>
      <c r="C397" t="s">
        <v>41</v>
      </c>
      <c r="D397" t="s">
        <v>32</v>
      </c>
      <c r="E397" s="2">
        <v>45747</v>
      </c>
      <c r="F397" s="2">
        <v>45759</v>
      </c>
      <c r="G397" s="2"/>
      <c r="H397" s="3">
        <v>0.18</v>
      </c>
      <c r="I397" s="4">
        <v>12000</v>
      </c>
      <c r="J397" s="4">
        <v>1800</v>
      </c>
      <c r="K397" t="s">
        <v>65</v>
      </c>
      <c r="L397" s="4">
        <f t="shared" si="18"/>
        <v>10200</v>
      </c>
      <c r="M397" t="str">
        <f t="shared" si="19"/>
        <v>Within Budget</v>
      </c>
      <c r="N397">
        <f t="shared" ca="1" si="20"/>
        <v>527</v>
      </c>
    </row>
    <row r="398" spans="1:14" x14ac:dyDescent="0.25">
      <c r="A398" t="s">
        <v>57</v>
      </c>
      <c r="B398" t="s">
        <v>73</v>
      </c>
      <c r="C398" t="s">
        <v>18</v>
      </c>
      <c r="D398" t="s">
        <v>32</v>
      </c>
      <c r="E398" s="2">
        <v>45406</v>
      </c>
      <c r="F398" s="2">
        <v>45490</v>
      </c>
      <c r="G398" s="2">
        <v>45494</v>
      </c>
      <c r="H398" s="3">
        <v>1</v>
      </c>
      <c r="I398" s="4">
        <v>156000</v>
      </c>
      <c r="J398" s="4">
        <v>164300</v>
      </c>
      <c r="K398" t="s">
        <v>15</v>
      </c>
      <c r="L398" s="4">
        <f t="shared" si="18"/>
        <v>-8300</v>
      </c>
      <c r="M398" t="str">
        <f t="shared" si="19"/>
        <v>Over Budget</v>
      </c>
      <c r="N398">
        <f t="shared" ca="1" si="20"/>
        <v>4</v>
      </c>
    </row>
    <row r="399" spans="1:14" x14ac:dyDescent="0.25">
      <c r="A399" t="s">
        <v>77</v>
      </c>
      <c r="B399" t="s">
        <v>30</v>
      </c>
      <c r="C399" t="s">
        <v>67</v>
      </c>
      <c r="D399" t="s">
        <v>23</v>
      </c>
      <c r="E399" s="2">
        <v>45473</v>
      </c>
      <c r="F399" s="2">
        <v>45505</v>
      </c>
      <c r="G399" s="2">
        <v>45483</v>
      </c>
      <c r="H399" s="3">
        <v>0</v>
      </c>
      <c r="I399" s="4">
        <v>35000</v>
      </c>
      <c r="J399" s="4">
        <v>4000</v>
      </c>
      <c r="K399" t="s">
        <v>27</v>
      </c>
      <c r="L399" s="4">
        <f t="shared" si="18"/>
        <v>31000</v>
      </c>
      <c r="M399" t="str">
        <f t="shared" si="19"/>
        <v>Within Budget</v>
      </c>
      <c r="N399">
        <f t="shared" ca="1" si="20"/>
        <v>-22</v>
      </c>
    </row>
    <row r="400" spans="1:14" x14ac:dyDescent="0.25">
      <c r="A400" t="s">
        <v>42</v>
      </c>
      <c r="B400" t="s">
        <v>46</v>
      </c>
      <c r="C400" t="s">
        <v>106</v>
      </c>
      <c r="D400" t="s">
        <v>14</v>
      </c>
      <c r="E400" s="2">
        <v>45435</v>
      </c>
      <c r="F400" s="2">
        <v>45443</v>
      </c>
      <c r="G400" s="2">
        <v>45439</v>
      </c>
      <c r="H400" s="3">
        <v>1</v>
      </c>
      <c r="I400" s="4">
        <v>12000</v>
      </c>
      <c r="J400" s="4">
        <v>12400</v>
      </c>
      <c r="K400" t="s">
        <v>15</v>
      </c>
      <c r="L400" s="4">
        <f t="shared" si="18"/>
        <v>-400</v>
      </c>
      <c r="M400" t="str">
        <f t="shared" si="19"/>
        <v>Over Budget</v>
      </c>
      <c r="N400">
        <f t="shared" ca="1" si="20"/>
        <v>-4</v>
      </c>
    </row>
    <row r="401" spans="1:14" x14ac:dyDescent="0.25">
      <c r="A401" t="s">
        <v>42</v>
      </c>
      <c r="B401" t="s">
        <v>114</v>
      </c>
      <c r="C401" t="s">
        <v>87</v>
      </c>
      <c r="D401" t="s">
        <v>36</v>
      </c>
      <c r="E401" s="2">
        <v>45412</v>
      </c>
      <c r="F401" s="2">
        <v>45425</v>
      </c>
      <c r="G401" s="2"/>
      <c r="H401" s="3">
        <v>0.21</v>
      </c>
      <c r="I401" s="4">
        <v>48000</v>
      </c>
      <c r="J401" s="4">
        <v>42200</v>
      </c>
      <c r="K401" t="s">
        <v>19</v>
      </c>
      <c r="L401" s="4">
        <f t="shared" si="18"/>
        <v>5800</v>
      </c>
      <c r="M401" t="str">
        <f t="shared" si="19"/>
        <v>Within Budget</v>
      </c>
      <c r="N401">
        <f t="shared" ca="1" si="20"/>
        <v>861</v>
      </c>
    </row>
    <row r="402" spans="1:14" x14ac:dyDescent="0.25">
      <c r="A402" t="s">
        <v>91</v>
      </c>
      <c r="B402" t="s">
        <v>114</v>
      </c>
      <c r="C402" t="s">
        <v>111</v>
      </c>
      <c r="D402" t="s">
        <v>14</v>
      </c>
      <c r="E402" s="2">
        <v>45430</v>
      </c>
      <c r="F402" s="2">
        <v>45465</v>
      </c>
      <c r="G402" s="2"/>
      <c r="H402" s="3">
        <v>0.42</v>
      </c>
      <c r="I402" s="4">
        <v>43000</v>
      </c>
      <c r="J402" s="4">
        <v>54100</v>
      </c>
      <c r="K402" t="s">
        <v>19</v>
      </c>
      <c r="L402" s="4">
        <f t="shared" si="18"/>
        <v>-11100</v>
      </c>
      <c r="M402" t="str">
        <f t="shared" si="19"/>
        <v>Over Budget</v>
      </c>
      <c r="N402">
        <f t="shared" ca="1" si="20"/>
        <v>821</v>
      </c>
    </row>
    <row r="403" spans="1:14" x14ac:dyDescent="0.25">
      <c r="A403" t="s">
        <v>42</v>
      </c>
      <c r="B403" t="s">
        <v>21</v>
      </c>
      <c r="C403" t="s">
        <v>97</v>
      </c>
      <c r="D403" t="s">
        <v>32</v>
      </c>
      <c r="E403" s="2">
        <v>45502</v>
      </c>
      <c r="F403" s="2">
        <v>45535</v>
      </c>
      <c r="G403" s="2">
        <v>45508</v>
      </c>
      <c r="H403" s="3">
        <v>0</v>
      </c>
      <c r="I403" s="4">
        <v>78000</v>
      </c>
      <c r="J403" s="4">
        <v>31000</v>
      </c>
      <c r="K403" t="s">
        <v>27</v>
      </c>
      <c r="L403" s="4">
        <f t="shared" si="18"/>
        <v>47000</v>
      </c>
      <c r="M403" t="str">
        <f t="shared" si="19"/>
        <v>Within Budget</v>
      </c>
      <c r="N403">
        <f t="shared" ca="1" si="20"/>
        <v>-27</v>
      </c>
    </row>
    <row r="404" spans="1:14" x14ac:dyDescent="0.25">
      <c r="A404" t="s">
        <v>120</v>
      </c>
      <c r="B404" t="s">
        <v>49</v>
      </c>
      <c r="C404" t="s">
        <v>22</v>
      </c>
      <c r="D404" t="s">
        <v>36</v>
      </c>
      <c r="E404" s="2">
        <v>45631</v>
      </c>
      <c r="F404" s="2">
        <v>45647</v>
      </c>
      <c r="G404" s="2">
        <v>45633</v>
      </c>
      <c r="H404" s="3">
        <v>0.25</v>
      </c>
      <c r="I404" s="4">
        <v>41000</v>
      </c>
      <c r="J404" s="4">
        <v>4600</v>
      </c>
      <c r="K404" t="s">
        <v>27</v>
      </c>
      <c r="L404" s="4">
        <f t="shared" si="18"/>
        <v>36400</v>
      </c>
      <c r="M404" t="str">
        <f t="shared" si="19"/>
        <v>Within Budget</v>
      </c>
      <c r="N404">
        <f t="shared" ca="1" si="20"/>
        <v>-14</v>
      </c>
    </row>
    <row r="405" spans="1:14" x14ac:dyDescent="0.25">
      <c r="A405" t="s">
        <v>91</v>
      </c>
      <c r="B405" t="s">
        <v>123</v>
      </c>
      <c r="C405" t="s">
        <v>105</v>
      </c>
      <c r="D405" t="s">
        <v>14</v>
      </c>
      <c r="E405" s="2">
        <v>45521</v>
      </c>
      <c r="F405" s="2">
        <v>45589</v>
      </c>
      <c r="G405" s="2">
        <v>45543</v>
      </c>
      <c r="H405" s="3">
        <v>0.25</v>
      </c>
      <c r="I405" s="4">
        <v>118000</v>
      </c>
      <c r="J405" s="4">
        <v>33800</v>
      </c>
      <c r="K405" t="s">
        <v>27</v>
      </c>
      <c r="L405" s="4">
        <f t="shared" si="18"/>
        <v>84200</v>
      </c>
      <c r="M405" t="str">
        <f t="shared" si="19"/>
        <v>Within Budget</v>
      </c>
      <c r="N405">
        <f t="shared" ca="1" si="20"/>
        <v>-46</v>
      </c>
    </row>
    <row r="406" spans="1:14" x14ac:dyDescent="0.25">
      <c r="A406" t="s">
        <v>55</v>
      </c>
      <c r="B406" t="s">
        <v>123</v>
      </c>
      <c r="C406" t="s">
        <v>60</v>
      </c>
      <c r="D406" t="s">
        <v>32</v>
      </c>
      <c r="E406" s="2">
        <v>45590</v>
      </c>
      <c r="F406" s="2">
        <v>45677</v>
      </c>
      <c r="G406" s="2"/>
      <c r="H406" s="3">
        <v>0.92</v>
      </c>
      <c r="I406" s="4">
        <v>175000</v>
      </c>
      <c r="J406" s="4">
        <v>165700</v>
      </c>
      <c r="K406" t="s">
        <v>65</v>
      </c>
      <c r="L406" s="4">
        <f t="shared" si="18"/>
        <v>9300</v>
      </c>
      <c r="M406" t="str">
        <f t="shared" si="19"/>
        <v>Within Budget</v>
      </c>
      <c r="N406">
        <f t="shared" ca="1" si="20"/>
        <v>609</v>
      </c>
    </row>
    <row r="407" spans="1:14" x14ac:dyDescent="0.25">
      <c r="A407" t="s">
        <v>42</v>
      </c>
      <c r="B407" t="s">
        <v>38</v>
      </c>
      <c r="C407" t="s">
        <v>35</v>
      </c>
      <c r="D407" t="s">
        <v>36</v>
      </c>
      <c r="E407" s="2">
        <v>45418</v>
      </c>
      <c r="F407" s="2">
        <v>45437</v>
      </c>
      <c r="G407" s="2">
        <v>45422</v>
      </c>
      <c r="H407" s="3">
        <v>0</v>
      </c>
      <c r="I407" s="4">
        <v>44000</v>
      </c>
      <c r="J407" s="4">
        <v>2700</v>
      </c>
      <c r="K407" t="s">
        <v>27</v>
      </c>
      <c r="L407" s="4">
        <f t="shared" si="18"/>
        <v>41300</v>
      </c>
      <c r="M407" t="str">
        <f t="shared" si="19"/>
        <v>Within Budget</v>
      </c>
      <c r="N407">
        <f t="shared" ca="1" si="20"/>
        <v>-15</v>
      </c>
    </row>
    <row r="408" spans="1:14" x14ac:dyDescent="0.25">
      <c r="A408" t="s">
        <v>42</v>
      </c>
      <c r="B408" t="s">
        <v>74</v>
      </c>
      <c r="C408" t="s">
        <v>26</v>
      </c>
      <c r="D408" t="s">
        <v>36</v>
      </c>
      <c r="E408" s="2">
        <v>45535</v>
      </c>
      <c r="F408" s="2">
        <v>45558</v>
      </c>
      <c r="G408" s="2">
        <v>45584</v>
      </c>
      <c r="H408" s="3">
        <v>1</v>
      </c>
      <c r="I408" s="4">
        <v>21000</v>
      </c>
      <c r="J408" s="4">
        <v>26200</v>
      </c>
      <c r="K408" t="s">
        <v>15</v>
      </c>
      <c r="L408" s="4">
        <f t="shared" si="18"/>
        <v>-5200</v>
      </c>
      <c r="M408" t="str">
        <f t="shared" si="19"/>
        <v>Over Budget</v>
      </c>
      <c r="N408">
        <f t="shared" ca="1" si="20"/>
        <v>26</v>
      </c>
    </row>
    <row r="409" spans="1:14" x14ac:dyDescent="0.25">
      <c r="A409" t="s">
        <v>37</v>
      </c>
      <c r="B409" t="s">
        <v>90</v>
      </c>
      <c r="C409" t="s">
        <v>39</v>
      </c>
      <c r="D409" t="s">
        <v>23</v>
      </c>
      <c r="E409" s="2">
        <v>45592</v>
      </c>
      <c r="F409" s="2">
        <v>45632</v>
      </c>
      <c r="G409" s="2">
        <v>45598</v>
      </c>
      <c r="H409" s="3">
        <v>0.25</v>
      </c>
      <c r="I409" s="4">
        <v>57000</v>
      </c>
      <c r="J409" s="4">
        <v>17800</v>
      </c>
      <c r="K409" t="s">
        <v>27</v>
      </c>
      <c r="L409" s="4">
        <f t="shared" si="18"/>
        <v>39200</v>
      </c>
      <c r="M409" t="str">
        <f t="shared" si="19"/>
        <v>Within Budget</v>
      </c>
      <c r="N409">
        <f t="shared" ca="1" si="20"/>
        <v>-34</v>
      </c>
    </row>
    <row r="410" spans="1:14" x14ac:dyDescent="0.25">
      <c r="A410" t="s">
        <v>121</v>
      </c>
      <c r="B410" t="s">
        <v>125</v>
      </c>
      <c r="C410" t="s">
        <v>61</v>
      </c>
      <c r="D410" t="s">
        <v>14</v>
      </c>
      <c r="E410" s="2">
        <v>45802</v>
      </c>
      <c r="F410" s="2">
        <v>45812</v>
      </c>
      <c r="G410" s="2"/>
      <c r="H410" s="3">
        <v>0</v>
      </c>
      <c r="I410" s="4">
        <v>4000</v>
      </c>
      <c r="J410" s="4">
        <v>0</v>
      </c>
      <c r="K410" t="s">
        <v>48</v>
      </c>
      <c r="L410" s="4">
        <f t="shared" si="18"/>
        <v>4000</v>
      </c>
      <c r="M410" t="str">
        <f t="shared" si="19"/>
        <v>Within Budget</v>
      </c>
      <c r="N410">
        <f t="shared" ca="1" si="20"/>
        <v>474</v>
      </c>
    </row>
    <row r="411" spans="1:14" x14ac:dyDescent="0.25">
      <c r="A411" t="s">
        <v>62</v>
      </c>
      <c r="B411" t="s">
        <v>89</v>
      </c>
      <c r="C411" t="s">
        <v>47</v>
      </c>
      <c r="D411" t="s">
        <v>23</v>
      </c>
      <c r="E411" s="2">
        <v>45743</v>
      </c>
      <c r="F411" s="2">
        <v>45762</v>
      </c>
      <c r="G411" s="2"/>
      <c r="H411" s="3">
        <v>0.74</v>
      </c>
      <c r="I411" s="4">
        <v>25000</v>
      </c>
      <c r="J411" s="4">
        <v>21800</v>
      </c>
      <c r="K411" t="s">
        <v>65</v>
      </c>
      <c r="L411" s="4">
        <f t="shared" si="18"/>
        <v>3200</v>
      </c>
      <c r="M411" t="str">
        <f t="shared" si="19"/>
        <v>Within Budget</v>
      </c>
      <c r="N411">
        <f t="shared" ca="1" si="20"/>
        <v>524</v>
      </c>
    </row>
    <row r="412" spans="1:14" x14ac:dyDescent="0.25">
      <c r="A412" t="s">
        <v>37</v>
      </c>
      <c r="B412" t="s">
        <v>123</v>
      </c>
      <c r="C412" t="s">
        <v>47</v>
      </c>
      <c r="D412" t="s">
        <v>14</v>
      </c>
      <c r="E412" s="2">
        <v>45307</v>
      </c>
      <c r="F412" s="2">
        <v>45353</v>
      </c>
      <c r="G412" s="2">
        <v>45382</v>
      </c>
      <c r="H412" s="3">
        <v>1</v>
      </c>
      <c r="I412" s="4">
        <v>83000</v>
      </c>
      <c r="J412" s="4">
        <v>76800</v>
      </c>
      <c r="K412" t="s">
        <v>15</v>
      </c>
      <c r="L412" s="4">
        <f t="shared" si="18"/>
        <v>6200</v>
      </c>
      <c r="M412" t="str">
        <f t="shared" si="19"/>
        <v>Within Budget</v>
      </c>
      <c r="N412">
        <f t="shared" ca="1" si="20"/>
        <v>29</v>
      </c>
    </row>
    <row r="413" spans="1:14" x14ac:dyDescent="0.25">
      <c r="A413" t="s">
        <v>50</v>
      </c>
      <c r="B413" t="s">
        <v>96</v>
      </c>
      <c r="C413" t="s">
        <v>41</v>
      </c>
      <c r="D413" t="s">
        <v>14</v>
      </c>
      <c r="E413" s="2">
        <v>45773</v>
      </c>
      <c r="F413" s="2">
        <v>45798</v>
      </c>
      <c r="G413" s="2"/>
      <c r="H413" s="3">
        <v>0</v>
      </c>
      <c r="I413" s="4">
        <v>40000</v>
      </c>
      <c r="J413" s="4">
        <v>0</v>
      </c>
      <c r="K413" t="s">
        <v>48</v>
      </c>
      <c r="L413" s="4">
        <f t="shared" si="18"/>
        <v>40000</v>
      </c>
      <c r="M413" t="str">
        <f t="shared" si="19"/>
        <v>Within Budget</v>
      </c>
      <c r="N413">
        <f t="shared" ca="1" si="20"/>
        <v>488</v>
      </c>
    </row>
    <row r="414" spans="1:14" x14ac:dyDescent="0.25">
      <c r="A414" t="s">
        <v>72</v>
      </c>
      <c r="B414" t="s">
        <v>70</v>
      </c>
      <c r="C414" t="s">
        <v>35</v>
      </c>
      <c r="D414" t="s">
        <v>14</v>
      </c>
      <c r="E414" s="2">
        <v>45708</v>
      </c>
      <c r="F414" s="2">
        <v>45723</v>
      </c>
      <c r="G414" s="2"/>
      <c r="H414" s="3">
        <v>0.66</v>
      </c>
      <c r="I414" s="4">
        <v>49000</v>
      </c>
      <c r="J414" s="4">
        <v>35400</v>
      </c>
      <c r="K414" t="s">
        <v>19</v>
      </c>
      <c r="L414" s="4">
        <f t="shared" si="18"/>
        <v>13600</v>
      </c>
      <c r="M414" t="str">
        <f t="shared" si="19"/>
        <v>Within Budget</v>
      </c>
      <c r="N414">
        <f t="shared" ca="1" si="20"/>
        <v>563</v>
      </c>
    </row>
    <row r="415" spans="1:14" x14ac:dyDescent="0.25">
      <c r="A415" t="s">
        <v>11</v>
      </c>
      <c r="B415" t="s">
        <v>125</v>
      </c>
      <c r="C415" t="s">
        <v>18</v>
      </c>
      <c r="D415" t="s">
        <v>36</v>
      </c>
      <c r="E415" s="2">
        <v>45768</v>
      </c>
      <c r="F415" s="2">
        <v>45775</v>
      </c>
      <c r="G415" s="2"/>
      <c r="H415" s="3">
        <v>0</v>
      </c>
      <c r="I415" s="4">
        <v>14000</v>
      </c>
      <c r="J415" s="4">
        <v>0</v>
      </c>
      <c r="K415" t="s">
        <v>48</v>
      </c>
      <c r="L415" s="4">
        <f t="shared" si="18"/>
        <v>14000</v>
      </c>
      <c r="M415" t="str">
        <f t="shared" si="19"/>
        <v>Within Budget</v>
      </c>
      <c r="N415">
        <f t="shared" ca="1" si="20"/>
        <v>511</v>
      </c>
    </row>
    <row r="416" spans="1:14" x14ac:dyDescent="0.25">
      <c r="A416" t="s">
        <v>33</v>
      </c>
      <c r="B416" t="s">
        <v>43</v>
      </c>
      <c r="C416" t="s">
        <v>28</v>
      </c>
      <c r="D416" t="s">
        <v>14</v>
      </c>
      <c r="E416" s="2">
        <v>45317</v>
      </c>
      <c r="F416" s="2">
        <v>45380</v>
      </c>
      <c r="G416" s="2"/>
      <c r="H416" s="3">
        <v>0.23</v>
      </c>
      <c r="I416" s="4">
        <v>111000</v>
      </c>
      <c r="J416" s="4">
        <v>133200</v>
      </c>
      <c r="K416" t="s">
        <v>19</v>
      </c>
      <c r="L416" s="4">
        <f t="shared" si="18"/>
        <v>-22200</v>
      </c>
      <c r="M416" t="str">
        <f t="shared" si="19"/>
        <v>Over Budget</v>
      </c>
      <c r="N416">
        <f t="shared" ca="1" si="20"/>
        <v>906</v>
      </c>
    </row>
    <row r="417" spans="1:14" x14ac:dyDescent="0.25">
      <c r="A417" t="s">
        <v>91</v>
      </c>
      <c r="B417" t="s">
        <v>108</v>
      </c>
      <c r="C417" t="s">
        <v>61</v>
      </c>
      <c r="D417" t="s">
        <v>23</v>
      </c>
      <c r="E417" s="2">
        <v>45765</v>
      </c>
      <c r="F417" s="2">
        <v>45787</v>
      </c>
      <c r="G417" s="2"/>
      <c r="H417" s="3">
        <v>0.8</v>
      </c>
      <c r="I417" s="4">
        <v>48000</v>
      </c>
      <c r="J417" s="4">
        <v>31300</v>
      </c>
      <c r="K417" t="s">
        <v>65</v>
      </c>
      <c r="L417" s="4">
        <f t="shared" si="18"/>
        <v>16700</v>
      </c>
      <c r="M417" t="str">
        <f t="shared" si="19"/>
        <v>Within Budget</v>
      </c>
      <c r="N417">
        <f t="shared" ca="1" si="20"/>
        <v>499</v>
      </c>
    </row>
    <row r="418" spans="1:14" x14ac:dyDescent="0.25">
      <c r="A418" t="s">
        <v>83</v>
      </c>
      <c r="B418" t="s">
        <v>78</v>
      </c>
      <c r="C418" t="s">
        <v>113</v>
      </c>
      <c r="D418" t="s">
        <v>14</v>
      </c>
      <c r="E418" s="2">
        <v>45293</v>
      </c>
      <c r="F418" s="2">
        <v>45318</v>
      </c>
      <c r="G418" s="2">
        <v>45359</v>
      </c>
      <c r="H418" s="3">
        <v>1</v>
      </c>
      <c r="I418" s="4">
        <v>50000</v>
      </c>
      <c r="J418" s="4">
        <v>57500</v>
      </c>
      <c r="K418" t="s">
        <v>15</v>
      </c>
      <c r="L418" s="4">
        <f t="shared" si="18"/>
        <v>-7500</v>
      </c>
      <c r="M418" t="str">
        <f t="shared" si="19"/>
        <v>Over Budget</v>
      </c>
      <c r="N418">
        <f t="shared" ca="1" si="20"/>
        <v>41</v>
      </c>
    </row>
    <row r="419" spans="1:14" x14ac:dyDescent="0.25">
      <c r="A419" t="s">
        <v>45</v>
      </c>
      <c r="B419" t="s">
        <v>70</v>
      </c>
      <c r="C419" t="s">
        <v>97</v>
      </c>
      <c r="D419" t="s">
        <v>36</v>
      </c>
      <c r="E419" s="2">
        <v>45414</v>
      </c>
      <c r="F419" s="2">
        <v>45420</v>
      </c>
      <c r="G419" s="2">
        <v>45427</v>
      </c>
      <c r="H419" s="3">
        <v>1</v>
      </c>
      <c r="I419" s="4">
        <v>4000</v>
      </c>
      <c r="J419" s="4">
        <v>4500</v>
      </c>
      <c r="K419" t="s">
        <v>15</v>
      </c>
      <c r="L419" s="4">
        <f t="shared" si="18"/>
        <v>-500</v>
      </c>
      <c r="M419" t="str">
        <f t="shared" si="19"/>
        <v>Over Budget</v>
      </c>
      <c r="N419">
        <f t="shared" ca="1" si="20"/>
        <v>7</v>
      </c>
    </row>
    <row r="420" spans="1:14" x14ac:dyDescent="0.25">
      <c r="A420" t="s">
        <v>62</v>
      </c>
      <c r="B420" t="s">
        <v>124</v>
      </c>
      <c r="C420" t="s">
        <v>26</v>
      </c>
      <c r="D420" t="s">
        <v>14</v>
      </c>
      <c r="E420" s="2">
        <v>45467</v>
      </c>
      <c r="F420" s="2">
        <v>45501</v>
      </c>
      <c r="G420" s="2"/>
      <c r="H420" s="3">
        <v>0.24</v>
      </c>
      <c r="I420" s="4">
        <v>89000</v>
      </c>
      <c r="J420" s="4">
        <v>99500</v>
      </c>
      <c r="K420" t="s">
        <v>19</v>
      </c>
      <c r="L420" s="4">
        <f t="shared" si="18"/>
        <v>-10500</v>
      </c>
      <c r="M420" t="str">
        <f t="shared" si="19"/>
        <v>Over Budget</v>
      </c>
      <c r="N420">
        <f t="shared" ca="1" si="20"/>
        <v>785</v>
      </c>
    </row>
    <row r="421" spans="1:14" x14ac:dyDescent="0.25">
      <c r="A421" t="s">
        <v>11</v>
      </c>
      <c r="B421" t="s">
        <v>43</v>
      </c>
      <c r="C421" t="s">
        <v>35</v>
      </c>
      <c r="D421" t="s">
        <v>36</v>
      </c>
      <c r="E421" s="2">
        <v>45655</v>
      </c>
      <c r="F421" s="2">
        <v>45719</v>
      </c>
      <c r="G421" s="2"/>
      <c r="H421" s="3">
        <v>0.62</v>
      </c>
      <c r="I421" s="4">
        <v>199000</v>
      </c>
      <c r="J421" s="4">
        <v>28000</v>
      </c>
      <c r="K421" t="s">
        <v>94</v>
      </c>
      <c r="L421" s="4">
        <f t="shared" si="18"/>
        <v>171000</v>
      </c>
      <c r="M421" t="str">
        <f t="shared" si="19"/>
        <v>Within Budget</v>
      </c>
      <c r="N421">
        <f t="shared" ca="1" si="20"/>
        <v>567</v>
      </c>
    </row>
    <row r="422" spans="1:14" x14ac:dyDescent="0.25">
      <c r="A422" t="s">
        <v>57</v>
      </c>
      <c r="B422" t="s">
        <v>40</v>
      </c>
      <c r="C422" t="s">
        <v>60</v>
      </c>
      <c r="D422" t="s">
        <v>23</v>
      </c>
      <c r="E422" s="2">
        <v>45460</v>
      </c>
      <c r="F422" s="2">
        <v>45491</v>
      </c>
      <c r="G422" s="2">
        <v>45499</v>
      </c>
      <c r="H422" s="3">
        <v>1</v>
      </c>
      <c r="I422" s="4">
        <v>61000</v>
      </c>
      <c r="J422" s="4">
        <v>82200</v>
      </c>
      <c r="K422" t="s">
        <v>15</v>
      </c>
      <c r="L422" s="4">
        <f t="shared" si="18"/>
        <v>-21200</v>
      </c>
      <c r="M422" t="str">
        <f t="shared" si="19"/>
        <v>Over Budget</v>
      </c>
      <c r="N422">
        <f t="shared" ca="1" si="20"/>
        <v>8</v>
      </c>
    </row>
    <row r="423" spans="1:14" x14ac:dyDescent="0.25">
      <c r="A423" t="s">
        <v>77</v>
      </c>
      <c r="B423" t="s">
        <v>73</v>
      </c>
      <c r="C423" t="s">
        <v>39</v>
      </c>
      <c r="D423" t="s">
        <v>23</v>
      </c>
      <c r="E423" s="2">
        <v>45439</v>
      </c>
      <c r="F423" s="2">
        <v>45496</v>
      </c>
      <c r="G423" s="2">
        <v>45488</v>
      </c>
      <c r="H423" s="3">
        <v>1</v>
      </c>
      <c r="I423" s="4">
        <v>83000</v>
      </c>
      <c r="J423" s="4">
        <v>105000</v>
      </c>
      <c r="K423" t="s">
        <v>15</v>
      </c>
      <c r="L423" s="4">
        <f t="shared" si="18"/>
        <v>-22000</v>
      </c>
      <c r="M423" t="str">
        <f t="shared" si="19"/>
        <v>Over Budget</v>
      </c>
      <c r="N423">
        <f t="shared" ca="1" si="20"/>
        <v>-8</v>
      </c>
    </row>
    <row r="424" spans="1:14" x14ac:dyDescent="0.25">
      <c r="A424" t="s">
        <v>99</v>
      </c>
      <c r="B424" t="s">
        <v>125</v>
      </c>
      <c r="C424" t="s">
        <v>54</v>
      </c>
      <c r="D424" t="s">
        <v>14</v>
      </c>
      <c r="E424" s="2">
        <v>45394</v>
      </c>
      <c r="F424" s="2">
        <v>45407</v>
      </c>
      <c r="G424" s="2">
        <v>45442</v>
      </c>
      <c r="H424" s="3">
        <v>1</v>
      </c>
      <c r="I424" s="4">
        <v>41000</v>
      </c>
      <c r="J424" s="4">
        <v>49900</v>
      </c>
      <c r="K424" t="s">
        <v>15</v>
      </c>
      <c r="L424" s="4">
        <f t="shared" si="18"/>
        <v>-8900</v>
      </c>
      <c r="M424" t="str">
        <f t="shared" si="19"/>
        <v>Over Budget</v>
      </c>
      <c r="N424">
        <f t="shared" ca="1" si="20"/>
        <v>35</v>
      </c>
    </row>
    <row r="425" spans="1:14" x14ac:dyDescent="0.25">
      <c r="A425" t="s">
        <v>66</v>
      </c>
      <c r="B425" t="s">
        <v>21</v>
      </c>
      <c r="C425" t="s">
        <v>22</v>
      </c>
      <c r="D425" t="s">
        <v>36</v>
      </c>
      <c r="E425" s="2">
        <v>45402</v>
      </c>
      <c r="F425" s="2">
        <v>45415</v>
      </c>
      <c r="G425" s="2"/>
      <c r="H425" s="3">
        <v>0.2</v>
      </c>
      <c r="I425" s="4">
        <v>15000</v>
      </c>
      <c r="J425" s="4">
        <v>17000</v>
      </c>
      <c r="K425" t="s">
        <v>19</v>
      </c>
      <c r="L425" s="4">
        <f t="shared" si="18"/>
        <v>-2000</v>
      </c>
      <c r="M425" t="str">
        <f t="shared" si="19"/>
        <v>Over Budget</v>
      </c>
      <c r="N425">
        <f t="shared" ca="1" si="20"/>
        <v>871</v>
      </c>
    </row>
    <row r="426" spans="1:14" x14ac:dyDescent="0.25">
      <c r="A426" t="s">
        <v>66</v>
      </c>
      <c r="B426" t="s">
        <v>12</v>
      </c>
      <c r="C426" t="s">
        <v>113</v>
      </c>
      <c r="D426" t="s">
        <v>23</v>
      </c>
      <c r="E426" s="2">
        <v>45500</v>
      </c>
      <c r="F426" s="2">
        <v>45532</v>
      </c>
      <c r="G426" s="2">
        <v>45541</v>
      </c>
      <c r="H426" s="3">
        <v>1</v>
      </c>
      <c r="I426" s="4">
        <v>68000</v>
      </c>
      <c r="J426" s="4">
        <v>80200</v>
      </c>
      <c r="K426" t="s">
        <v>15</v>
      </c>
      <c r="L426" s="4">
        <f t="shared" si="18"/>
        <v>-12200</v>
      </c>
      <c r="M426" t="str">
        <f t="shared" si="19"/>
        <v>Over Budget</v>
      </c>
      <c r="N426">
        <f t="shared" ca="1" si="20"/>
        <v>9</v>
      </c>
    </row>
    <row r="427" spans="1:14" x14ac:dyDescent="0.25">
      <c r="A427" t="s">
        <v>20</v>
      </c>
      <c r="B427" t="s">
        <v>115</v>
      </c>
      <c r="C427" t="s">
        <v>41</v>
      </c>
      <c r="D427" t="s">
        <v>14</v>
      </c>
      <c r="E427" s="2">
        <v>45350</v>
      </c>
      <c r="F427" s="2">
        <v>45367</v>
      </c>
      <c r="G427" s="2"/>
      <c r="H427" s="3">
        <v>0.71</v>
      </c>
      <c r="I427" s="4">
        <v>35000</v>
      </c>
      <c r="J427" s="4">
        <v>18200</v>
      </c>
      <c r="K427" t="s">
        <v>19</v>
      </c>
      <c r="L427" s="4">
        <f t="shared" si="18"/>
        <v>16800</v>
      </c>
      <c r="M427" t="str">
        <f t="shared" si="19"/>
        <v>Within Budget</v>
      </c>
      <c r="N427">
        <f t="shared" ca="1" si="20"/>
        <v>919</v>
      </c>
    </row>
    <row r="428" spans="1:14" x14ac:dyDescent="0.25">
      <c r="A428" t="s">
        <v>72</v>
      </c>
      <c r="B428" t="s">
        <v>95</v>
      </c>
      <c r="C428" t="s">
        <v>112</v>
      </c>
      <c r="D428" t="s">
        <v>14</v>
      </c>
      <c r="E428" s="2">
        <v>45707</v>
      </c>
      <c r="F428" s="2">
        <v>45721</v>
      </c>
      <c r="G428" s="2"/>
      <c r="H428" s="3">
        <v>0.57999999999999996</v>
      </c>
      <c r="I428" s="4">
        <v>42000</v>
      </c>
      <c r="J428" s="4">
        <v>9100</v>
      </c>
      <c r="K428" t="s">
        <v>94</v>
      </c>
      <c r="L428" s="4">
        <f t="shared" si="18"/>
        <v>32900</v>
      </c>
      <c r="M428" t="str">
        <f t="shared" si="19"/>
        <v>Within Budget</v>
      </c>
      <c r="N428">
        <f t="shared" ca="1" si="20"/>
        <v>565</v>
      </c>
    </row>
    <row r="429" spans="1:14" x14ac:dyDescent="0.25">
      <c r="A429" t="s">
        <v>79</v>
      </c>
      <c r="B429" t="s">
        <v>117</v>
      </c>
      <c r="C429" t="s">
        <v>28</v>
      </c>
      <c r="D429" t="s">
        <v>32</v>
      </c>
      <c r="E429" s="2">
        <v>45470</v>
      </c>
      <c r="F429" s="2">
        <v>45498</v>
      </c>
      <c r="G429" s="2">
        <v>45481</v>
      </c>
      <c r="H429" s="3">
        <v>0.25</v>
      </c>
      <c r="I429" s="4">
        <v>46000</v>
      </c>
      <c r="J429" s="4">
        <v>11000</v>
      </c>
      <c r="K429" t="s">
        <v>27</v>
      </c>
      <c r="L429" s="4">
        <f t="shared" si="18"/>
        <v>35000</v>
      </c>
      <c r="M429" t="str">
        <f t="shared" si="19"/>
        <v>Within Budget</v>
      </c>
      <c r="N429">
        <f t="shared" ca="1" si="20"/>
        <v>-17</v>
      </c>
    </row>
    <row r="430" spans="1:14" x14ac:dyDescent="0.25">
      <c r="A430" t="s">
        <v>42</v>
      </c>
      <c r="B430" t="s">
        <v>90</v>
      </c>
      <c r="C430" t="s">
        <v>47</v>
      </c>
      <c r="D430" t="s">
        <v>32</v>
      </c>
      <c r="E430" s="2">
        <v>45439</v>
      </c>
      <c r="F430" s="2">
        <v>45468</v>
      </c>
      <c r="G430" s="2">
        <v>45502</v>
      </c>
      <c r="H430" s="3">
        <v>1</v>
      </c>
      <c r="I430" s="4">
        <v>36000</v>
      </c>
      <c r="J430" s="4">
        <v>41700</v>
      </c>
      <c r="K430" t="s">
        <v>15</v>
      </c>
      <c r="L430" s="4">
        <f t="shared" si="18"/>
        <v>-5700</v>
      </c>
      <c r="M430" t="str">
        <f t="shared" si="19"/>
        <v>Over Budget</v>
      </c>
      <c r="N430">
        <f t="shared" ca="1" si="20"/>
        <v>34</v>
      </c>
    </row>
    <row r="431" spans="1:14" x14ac:dyDescent="0.25">
      <c r="A431" t="s">
        <v>24</v>
      </c>
      <c r="B431" t="s">
        <v>114</v>
      </c>
      <c r="C431" t="s">
        <v>111</v>
      </c>
      <c r="D431" t="s">
        <v>36</v>
      </c>
      <c r="E431" s="2">
        <v>45351</v>
      </c>
      <c r="F431" s="2">
        <v>45384</v>
      </c>
      <c r="G431" s="2">
        <v>45363</v>
      </c>
      <c r="H431" s="3">
        <v>0</v>
      </c>
      <c r="I431" s="4">
        <v>50000</v>
      </c>
      <c r="J431" s="4">
        <v>10500</v>
      </c>
      <c r="K431" t="s">
        <v>27</v>
      </c>
      <c r="L431" s="4">
        <f t="shared" si="18"/>
        <v>39500</v>
      </c>
      <c r="M431" t="str">
        <f t="shared" si="19"/>
        <v>Within Budget</v>
      </c>
      <c r="N431">
        <f t="shared" ca="1" si="20"/>
        <v>-21</v>
      </c>
    </row>
    <row r="432" spans="1:14" x14ac:dyDescent="0.25">
      <c r="A432" t="s">
        <v>79</v>
      </c>
      <c r="B432" t="s">
        <v>86</v>
      </c>
      <c r="C432" t="s">
        <v>41</v>
      </c>
      <c r="D432" t="s">
        <v>36</v>
      </c>
      <c r="E432" s="2">
        <v>45591</v>
      </c>
      <c r="F432" s="2">
        <v>45613</v>
      </c>
      <c r="G432" s="2">
        <v>45592</v>
      </c>
      <c r="H432" s="3">
        <v>0.1</v>
      </c>
      <c r="I432" s="4">
        <v>22000</v>
      </c>
      <c r="J432" s="4">
        <v>8600</v>
      </c>
      <c r="K432" t="s">
        <v>27</v>
      </c>
      <c r="L432" s="4">
        <f t="shared" si="18"/>
        <v>13400</v>
      </c>
      <c r="M432" t="str">
        <f t="shared" si="19"/>
        <v>Within Budget</v>
      </c>
      <c r="N432">
        <f t="shared" ca="1" si="20"/>
        <v>-21</v>
      </c>
    </row>
    <row r="433" spans="1:14" x14ac:dyDescent="0.25">
      <c r="A433" t="s">
        <v>104</v>
      </c>
      <c r="B433" t="s">
        <v>89</v>
      </c>
      <c r="C433" t="s">
        <v>52</v>
      </c>
      <c r="D433" t="s">
        <v>14</v>
      </c>
      <c r="E433" s="2">
        <v>45295</v>
      </c>
      <c r="F433" s="2">
        <v>45305</v>
      </c>
      <c r="G433" s="2">
        <v>45305</v>
      </c>
      <c r="H433" s="3">
        <v>1</v>
      </c>
      <c r="I433" s="4">
        <v>3000</v>
      </c>
      <c r="J433" s="4">
        <v>4000</v>
      </c>
      <c r="K433" t="s">
        <v>15</v>
      </c>
      <c r="L433" s="4">
        <f t="shared" si="18"/>
        <v>-1000</v>
      </c>
      <c r="M433" t="str">
        <f t="shared" si="19"/>
        <v>Over Budget</v>
      </c>
      <c r="N433">
        <f t="shared" ca="1" si="20"/>
        <v>0</v>
      </c>
    </row>
    <row r="434" spans="1:14" x14ac:dyDescent="0.25">
      <c r="A434" t="s">
        <v>83</v>
      </c>
      <c r="B434" t="s">
        <v>56</v>
      </c>
      <c r="C434" t="s">
        <v>13</v>
      </c>
      <c r="D434" t="s">
        <v>36</v>
      </c>
      <c r="E434" s="2">
        <v>45391</v>
      </c>
      <c r="F434" s="2">
        <v>45414</v>
      </c>
      <c r="G434" s="2">
        <v>45419</v>
      </c>
      <c r="H434" s="3">
        <v>1</v>
      </c>
      <c r="I434" s="4">
        <v>35000</v>
      </c>
      <c r="J434" s="4">
        <v>43100</v>
      </c>
      <c r="K434" t="s">
        <v>15</v>
      </c>
      <c r="L434" s="4">
        <f t="shared" si="18"/>
        <v>-8100</v>
      </c>
      <c r="M434" t="str">
        <f t="shared" si="19"/>
        <v>Over Budget</v>
      </c>
      <c r="N434">
        <f t="shared" ca="1" si="20"/>
        <v>5</v>
      </c>
    </row>
    <row r="435" spans="1:14" x14ac:dyDescent="0.25">
      <c r="A435" t="s">
        <v>104</v>
      </c>
      <c r="B435" t="s">
        <v>51</v>
      </c>
      <c r="C435" t="s">
        <v>100</v>
      </c>
      <c r="D435" t="s">
        <v>23</v>
      </c>
      <c r="E435" s="2">
        <v>45445</v>
      </c>
      <c r="F435" s="2">
        <v>45453</v>
      </c>
      <c r="G435" s="2">
        <v>45457</v>
      </c>
      <c r="H435" s="3">
        <v>1</v>
      </c>
      <c r="I435" s="4">
        <v>4000</v>
      </c>
      <c r="J435" s="4">
        <v>4700</v>
      </c>
      <c r="K435" t="s">
        <v>15</v>
      </c>
      <c r="L435" s="4">
        <f t="shared" si="18"/>
        <v>-700</v>
      </c>
      <c r="M435" t="str">
        <f t="shared" si="19"/>
        <v>Over Budget</v>
      </c>
      <c r="N435">
        <f t="shared" ca="1" si="20"/>
        <v>4</v>
      </c>
    </row>
    <row r="436" spans="1:14" x14ac:dyDescent="0.25">
      <c r="A436" t="s">
        <v>68</v>
      </c>
      <c r="B436" t="s">
        <v>89</v>
      </c>
      <c r="C436" t="s">
        <v>67</v>
      </c>
      <c r="D436" t="s">
        <v>14</v>
      </c>
      <c r="E436" s="2">
        <v>45307</v>
      </c>
      <c r="F436" s="2">
        <v>45342</v>
      </c>
      <c r="G436" s="2"/>
      <c r="H436" s="3">
        <v>0.51</v>
      </c>
      <c r="I436" s="4">
        <v>94000</v>
      </c>
      <c r="J436" s="4">
        <v>91100</v>
      </c>
      <c r="K436" t="s">
        <v>19</v>
      </c>
      <c r="L436" s="4">
        <f t="shared" si="18"/>
        <v>2900</v>
      </c>
      <c r="M436" t="str">
        <f t="shared" si="19"/>
        <v>Within Budget</v>
      </c>
      <c r="N436">
        <f t="shared" ca="1" si="20"/>
        <v>944</v>
      </c>
    </row>
    <row r="437" spans="1:14" x14ac:dyDescent="0.25">
      <c r="A437" t="s">
        <v>45</v>
      </c>
      <c r="B437" t="s">
        <v>117</v>
      </c>
      <c r="C437" t="s">
        <v>113</v>
      </c>
      <c r="D437" t="s">
        <v>23</v>
      </c>
      <c r="E437" s="2">
        <v>45421</v>
      </c>
      <c r="F437" s="2">
        <v>45456</v>
      </c>
      <c r="G437" s="2">
        <v>45493</v>
      </c>
      <c r="H437" s="3">
        <v>1</v>
      </c>
      <c r="I437" s="4">
        <v>95000</v>
      </c>
      <c r="J437" s="4">
        <v>98600</v>
      </c>
      <c r="K437" t="s">
        <v>15</v>
      </c>
      <c r="L437" s="4">
        <f t="shared" si="18"/>
        <v>-3600</v>
      </c>
      <c r="M437" t="str">
        <f t="shared" si="19"/>
        <v>Over Budget</v>
      </c>
      <c r="N437">
        <f t="shared" ca="1" si="20"/>
        <v>37</v>
      </c>
    </row>
    <row r="438" spans="1:14" x14ac:dyDescent="0.25">
      <c r="A438" t="s">
        <v>79</v>
      </c>
      <c r="B438" t="s">
        <v>84</v>
      </c>
      <c r="C438" t="s">
        <v>31</v>
      </c>
      <c r="D438" t="s">
        <v>36</v>
      </c>
      <c r="E438" s="2">
        <v>45582</v>
      </c>
      <c r="F438" s="2">
        <v>45616</v>
      </c>
      <c r="G438" s="2">
        <v>45597</v>
      </c>
      <c r="H438" s="3">
        <v>0.25</v>
      </c>
      <c r="I438" s="4">
        <v>57000</v>
      </c>
      <c r="J438" s="4">
        <v>5600</v>
      </c>
      <c r="K438" t="s">
        <v>27</v>
      </c>
      <c r="L438" s="4">
        <f t="shared" si="18"/>
        <v>51400</v>
      </c>
      <c r="M438" t="str">
        <f t="shared" si="19"/>
        <v>Within Budget</v>
      </c>
      <c r="N438">
        <f t="shared" ca="1" si="20"/>
        <v>-19</v>
      </c>
    </row>
    <row r="439" spans="1:14" x14ac:dyDescent="0.25">
      <c r="A439" t="s">
        <v>83</v>
      </c>
      <c r="B439" t="s">
        <v>93</v>
      </c>
      <c r="C439" t="s">
        <v>71</v>
      </c>
      <c r="D439" t="s">
        <v>23</v>
      </c>
      <c r="E439" s="2">
        <v>45769</v>
      </c>
      <c r="F439" s="2">
        <v>45785</v>
      </c>
      <c r="G439" s="2"/>
      <c r="H439" s="3">
        <v>0</v>
      </c>
      <c r="I439" s="4">
        <v>12000</v>
      </c>
      <c r="J439" s="4">
        <v>0</v>
      </c>
      <c r="K439" t="s">
        <v>48</v>
      </c>
      <c r="L439" s="4">
        <f t="shared" si="18"/>
        <v>12000</v>
      </c>
      <c r="M439" t="str">
        <f t="shared" si="19"/>
        <v>Within Budget</v>
      </c>
      <c r="N439">
        <f t="shared" ca="1" si="20"/>
        <v>501</v>
      </c>
    </row>
    <row r="440" spans="1:14" x14ac:dyDescent="0.25">
      <c r="A440" t="s">
        <v>20</v>
      </c>
      <c r="B440" t="s">
        <v>49</v>
      </c>
      <c r="C440" t="s">
        <v>35</v>
      </c>
      <c r="D440" t="s">
        <v>14</v>
      </c>
      <c r="E440" s="2">
        <v>45829</v>
      </c>
      <c r="F440" s="2">
        <v>45852</v>
      </c>
      <c r="G440" s="2"/>
      <c r="H440" s="3">
        <v>0</v>
      </c>
      <c r="I440" s="4">
        <v>38000</v>
      </c>
      <c r="J440" s="4">
        <v>0</v>
      </c>
      <c r="K440" t="s">
        <v>48</v>
      </c>
      <c r="L440" s="4">
        <f t="shared" si="18"/>
        <v>38000</v>
      </c>
      <c r="M440" t="str">
        <f t="shared" si="19"/>
        <v>Within Budget</v>
      </c>
      <c r="N440">
        <f t="shared" ca="1" si="20"/>
        <v>434</v>
      </c>
    </row>
    <row r="441" spans="1:14" x14ac:dyDescent="0.25">
      <c r="A441" t="s">
        <v>42</v>
      </c>
      <c r="B441" t="s">
        <v>38</v>
      </c>
      <c r="C441" t="s">
        <v>54</v>
      </c>
      <c r="D441" t="s">
        <v>36</v>
      </c>
      <c r="E441" s="2">
        <v>45635</v>
      </c>
      <c r="F441" s="2">
        <v>45666</v>
      </c>
      <c r="G441" s="2">
        <v>45708</v>
      </c>
      <c r="H441" s="3">
        <v>1</v>
      </c>
      <c r="I441" s="4">
        <v>72000</v>
      </c>
      <c r="J441" s="4">
        <v>68400</v>
      </c>
      <c r="K441" t="s">
        <v>15</v>
      </c>
      <c r="L441" s="4">
        <f t="shared" si="18"/>
        <v>3600</v>
      </c>
      <c r="M441" t="str">
        <f t="shared" si="19"/>
        <v>Within Budget</v>
      </c>
      <c r="N441">
        <f t="shared" ca="1" si="20"/>
        <v>42</v>
      </c>
    </row>
    <row r="442" spans="1:14" x14ac:dyDescent="0.25">
      <c r="A442" t="s">
        <v>72</v>
      </c>
      <c r="B442" t="s">
        <v>98</v>
      </c>
      <c r="C442" t="s">
        <v>47</v>
      </c>
      <c r="D442" t="s">
        <v>32</v>
      </c>
      <c r="E442" s="2">
        <v>45441</v>
      </c>
      <c r="F442" s="2">
        <v>45448</v>
      </c>
      <c r="G442" s="2">
        <v>45452</v>
      </c>
      <c r="H442" s="3">
        <v>1</v>
      </c>
      <c r="I442" s="4">
        <v>6000</v>
      </c>
      <c r="J442" s="4">
        <v>7300</v>
      </c>
      <c r="K442" t="s">
        <v>15</v>
      </c>
      <c r="L442" s="4">
        <f t="shared" si="18"/>
        <v>-1300</v>
      </c>
      <c r="M442" t="str">
        <f t="shared" si="19"/>
        <v>Over Budget</v>
      </c>
      <c r="N442">
        <f t="shared" ca="1" si="20"/>
        <v>4</v>
      </c>
    </row>
    <row r="443" spans="1:14" x14ac:dyDescent="0.25">
      <c r="A443" t="s">
        <v>103</v>
      </c>
      <c r="B443" t="s">
        <v>58</v>
      </c>
      <c r="C443" t="s">
        <v>67</v>
      </c>
      <c r="D443" t="s">
        <v>36</v>
      </c>
      <c r="E443" s="2">
        <v>45608</v>
      </c>
      <c r="F443" s="2">
        <v>45627</v>
      </c>
      <c r="G443" s="2">
        <v>45641</v>
      </c>
      <c r="H443" s="3">
        <v>1</v>
      </c>
      <c r="I443" s="4">
        <v>15000</v>
      </c>
      <c r="J443" s="4">
        <v>16700</v>
      </c>
      <c r="K443" t="s">
        <v>15</v>
      </c>
      <c r="L443" s="4">
        <f t="shared" si="18"/>
        <v>-1700</v>
      </c>
      <c r="M443" t="str">
        <f t="shared" si="19"/>
        <v>Over Budget</v>
      </c>
      <c r="N443">
        <f t="shared" ca="1" si="20"/>
        <v>14</v>
      </c>
    </row>
    <row r="444" spans="1:14" x14ac:dyDescent="0.25">
      <c r="A444" t="s">
        <v>29</v>
      </c>
      <c r="B444" t="s">
        <v>17</v>
      </c>
      <c r="C444" t="s">
        <v>71</v>
      </c>
      <c r="D444" t="s">
        <v>14</v>
      </c>
      <c r="E444" s="2">
        <v>45538</v>
      </c>
      <c r="F444" s="2">
        <v>45572</v>
      </c>
      <c r="G444" s="2">
        <v>45585</v>
      </c>
      <c r="H444" s="3">
        <v>1</v>
      </c>
      <c r="I444" s="4">
        <v>90000</v>
      </c>
      <c r="J444" s="4">
        <v>110700</v>
      </c>
      <c r="K444" t="s">
        <v>15</v>
      </c>
      <c r="L444" s="4">
        <f t="shared" si="18"/>
        <v>-20700</v>
      </c>
      <c r="M444" t="str">
        <f t="shared" si="19"/>
        <v>Over Budget</v>
      </c>
      <c r="N444">
        <f t="shared" ca="1" si="20"/>
        <v>13</v>
      </c>
    </row>
    <row r="445" spans="1:14" x14ac:dyDescent="0.25">
      <c r="A445" t="s">
        <v>104</v>
      </c>
      <c r="B445" t="s">
        <v>84</v>
      </c>
      <c r="C445" t="s">
        <v>28</v>
      </c>
      <c r="D445" t="s">
        <v>36</v>
      </c>
      <c r="E445" s="2">
        <v>45695</v>
      </c>
      <c r="F445" s="2">
        <v>45702</v>
      </c>
      <c r="G445" s="2"/>
      <c r="H445" s="3">
        <v>0.23</v>
      </c>
      <c r="I445" s="4">
        <v>4000</v>
      </c>
      <c r="J445" s="4">
        <v>700</v>
      </c>
      <c r="K445" t="s">
        <v>65</v>
      </c>
      <c r="L445" s="4">
        <f t="shared" si="18"/>
        <v>3300</v>
      </c>
      <c r="M445" t="str">
        <f t="shared" si="19"/>
        <v>Within Budget</v>
      </c>
      <c r="N445">
        <f t="shared" ca="1" si="20"/>
        <v>584</v>
      </c>
    </row>
    <row r="446" spans="1:14" x14ac:dyDescent="0.25">
      <c r="A446" t="s">
        <v>79</v>
      </c>
      <c r="B446" t="s">
        <v>85</v>
      </c>
      <c r="C446" t="s">
        <v>71</v>
      </c>
      <c r="D446" t="s">
        <v>23</v>
      </c>
      <c r="E446" s="2">
        <v>45661</v>
      </c>
      <c r="F446" s="2">
        <v>45685</v>
      </c>
      <c r="G446" s="2"/>
      <c r="H446" s="3">
        <v>0.37</v>
      </c>
      <c r="I446" s="4">
        <v>40000</v>
      </c>
      <c r="J446" s="4">
        <v>14600</v>
      </c>
      <c r="K446" t="s">
        <v>65</v>
      </c>
      <c r="L446" s="4">
        <f t="shared" si="18"/>
        <v>25400</v>
      </c>
      <c r="M446" t="str">
        <f t="shared" si="19"/>
        <v>Within Budget</v>
      </c>
      <c r="N446">
        <f t="shared" ca="1" si="20"/>
        <v>601</v>
      </c>
    </row>
    <row r="447" spans="1:14" x14ac:dyDescent="0.25">
      <c r="A447" t="s">
        <v>45</v>
      </c>
      <c r="B447" t="s">
        <v>93</v>
      </c>
      <c r="C447" t="s">
        <v>54</v>
      </c>
      <c r="D447" t="s">
        <v>14</v>
      </c>
      <c r="E447" s="2">
        <v>45483</v>
      </c>
      <c r="F447" s="2">
        <v>45502</v>
      </c>
      <c r="G447" s="2">
        <v>45499</v>
      </c>
      <c r="H447" s="3">
        <v>1</v>
      </c>
      <c r="I447" s="4">
        <v>15000</v>
      </c>
      <c r="J447" s="4">
        <v>17800</v>
      </c>
      <c r="K447" t="s">
        <v>15</v>
      </c>
      <c r="L447" s="4">
        <f t="shared" si="18"/>
        <v>-2800</v>
      </c>
      <c r="M447" t="str">
        <f t="shared" si="19"/>
        <v>Over Budget</v>
      </c>
      <c r="N447">
        <f t="shared" ca="1" si="20"/>
        <v>-3</v>
      </c>
    </row>
    <row r="448" spans="1:14" x14ac:dyDescent="0.25">
      <c r="A448" t="s">
        <v>37</v>
      </c>
      <c r="B448" t="s">
        <v>69</v>
      </c>
      <c r="C448" t="s">
        <v>31</v>
      </c>
      <c r="D448" t="s">
        <v>14</v>
      </c>
      <c r="E448" s="2">
        <v>45378</v>
      </c>
      <c r="F448" s="2">
        <v>45413</v>
      </c>
      <c r="G448" s="2">
        <v>45418</v>
      </c>
      <c r="H448" s="3">
        <v>1</v>
      </c>
      <c r="I448" s="4">
        <v>76000</v>
      </c>
      <c r="J448" s="4">
        <v>100700</v>
      </c>
      <c r="K448" t="s">
        <v>15</v>
      </c>
      <c r="L448" s="4">
        <f t="shared" si="18"/>
        <v>-24700</v>
      </c>
      <c r="M448" t="str">
        <f t="shared" si="19"/>
        <v>Over Budget</v>
      </c>
      <c r="N448">
        <f t="shared" ca="1" si="20"/>
        <v>5</v>
      </c>
    </row>
    <row r="449" spans="1:14" x14ac:dyDescent="0.25">
      <c r="A449" t="s">
        <v>99</v>
      </c>
      <c r="B449" t="s">
        <v>43</v>
      </c>
      <c r="C449" t="s">
        <v>31</v>
      </c>
      <c r="D449" t="s">
        <v>36</v>
      </c>
      <c r="E449" s="2">
        <v>45645</v>
      </c>
      <c r="F449" s="2">
        <v>45691</v>
      </c>
      <c r="G449" s="2">
        <v>45734</v>
      </c>
      <c r="H449" s="3">
        <v>1</v>
      </c>
      <c r="I449" s="4">
        <v>58000</v>
      </c>
      <c r="J449" s="4">
        <v>66900</v>
      </c>
      <c r="K449" t="s">
        <v>15</v>
      </c>
      <c r="L449" s="4">
        <f t="shared" si="18"/>
        <v>-8900</v>
      </c>
      <c r="M449" t="str">
        <f t="shared" si="19"/>
        <v>Over Budget</v>
      </c>
      <c r="N449">
        <f t="shared" ca="1" si="20"/>
        <v>43</v>
      </c>
    </row>
    <row r="450" spans="1:14" x14ac:dyDescent="0.25">
      <c r="A450" t="s">
        <v>66</v>
      </c>
      <c r="B450" t="s">
        <v>56</v>
      </c>
      <c r="C450" t="s">
        <v>112</v>
      </c>
      <c r="D450" t="s">
        <v>14</v>
      </c>
      <c r="E450" s="2">
        <v>45624</v>
      </c>
      <c r="F450" s="2">
        <v>45637</v>
      </c>
      <c r="G450" s="2">
        <v>45641</v>
      </c>
      <c r="H450" s="3">
        <v>1</v>
      </c>
      <c r="I450" s="4">
        <v>13000</v>
      </c>
      <c r="J450" s="4">
        <v>14800</v>
      </c>
      <c r="K450" t="s">
        <v>15</v>
      </c>
      <c r="L450" s="4">
        <f t="shared" si="18"/>
        <v>-1800</v>
      </c>
      <c r="M450" t="str">
        <f t="shared" si="19"/>
        <v>Over Budget</v>
      </c>
      <c r="N450">
        <f t="shared" ca="1" si="20"/>
        <v>4</v>
      </c>
    </row>
    <row r="451" spans="1:14" x14ac:dyDescent="0.25">
      <c r="A451" t="s">
        <v>91</v>
      </c>
      <c r="B451" t="s">
        <v>110</v>
      </c>
      <c r="C451" t="s">
        <v>31</v>
      </c>
      <c r="D451" t="s">
        <v>32</v>
      </c>
      <c r="E451" s="2">
        <v>45597</v>
      </c>
      <c r="F451" s="2">
        <v>45610</v>
      </c>
      <c r="G451" s="2"/>
      <c r="H451" s="3">
        <v>0.68</v>
      </c>
      <c r="I451" s="4">
        <v>38000</v>
      </c>
      <c r="J451" s="4">
        <v>35800</v>
      </c>
      <c r="K451" t="s">
        <v>19</v>
      </c>
      <c r="L451" s="4">
        <f t="shared" ref="L451:L514" si="21">I451-J451</f>
        <v>2200</v>
      </c>
      <c r="M451" t="str">
        <f t="shared" ref="M451:M514" si="22">IF(L451&lt;0, "Over Budget", "Within Budget")</f>
        <v>Within Budget</v>
      </c>
      <c r="N451">
        <f t="shared" ref="N451:N514" ca="1" si="23">IF(G451="",TODAY()-F451,G451-F451)</f>
        <v>676</v>
      </c>
    </row>
    <row r="452" spans="1:14" x14ac:dyDescent="0.25">
      <c r="A452" t="s">
        <v>79</v>
      </c>
      <c r="B452" t="s">
        <v>63</v>
      </c>
      <c r="C452" t="s">
        <v>61</v>
      </c>
      <c r="D452" t="s">
        <v>23</v>
      </c>
      <c r="E452" s="2">
        <v>45421</v>
      </c>
      <c r="F452" s="2">
        <v>45428</v>
      </c>
      <c r="G452" s="2">
        <v>45423</v>
      </c>
      <c r="H452" s="3">
        <v>0.2</v>
      </c>
      <c r="I452" s="4">
        <v>5000</v>
      </c>
      <c r="J452" s="4">
        <v>1300</v>
      </c>
      <c r="K452" t="s">
        <v>27</v>
      </c>
      <c r="L452" s="4">
        <f t="shared" si="21"/>
        <v>3700</v>
      </c>
      <c r="M452" t="str">
        <f t="shared" si="22"/>
        <v>Within Budget</v>
      </c>
      <c r="N452">
        <f t="shared" ca="1" si="23"/>
        <v>-5</v>
      </c>
    </row>
    <row r="453" spans="1:14" x14ac:dyDescent="0.25">
      <c r="A453" t="s">
        <v>118</v>
      </c>
      <c r="B453" t="s">
        <v>56</v>
      </c>
      <c r="C453" t="s">
        <v>44</v>
      </c>
      <c r="D453" t="s">
        <v>23</v>
      </c>
      <c r="E453" s="2">
        <v>45748</v>
      </c>
      <c r="F453" s="2">
        <v>45760</v>
      </c>
      <c r="G453" s="2"/>
      <c r="H453" s="3">
        <v>0.59</v>
      </c>
      <c r="I453" s="4">
        <v>42000</v>
      </c>
      <c r="J453" s="4">
        <v>22700</v>
      </c>
      <c r="K453" t="s">
        <v>65</v>
      </c>
      <c r="L453" s="4">
        <f t="shared" si="21"/>
        <v>19300</v>
      </c>
      <c r="M453" t="str">
        <f t="shared" si="22"/>
        <v>Within Budget</v>
      </c>
      <c r="N453">
        <f t="shared" ca="1" si="23"/>
        <v>526</v>
      </c>
    </row>
    <row r="454" spans="1:14" x14ac:dyDescent="0.25">
      <c r="A454" t="s">
        <v>118</v>
      </c>
      <c r="B454" t="s">
        <v>115</v>
      </c>
      <c r="C454" t="s">
        <v>39</v>
      </c>
      <c r="D454" t="s">
        <v>23</v>
      </c>
      <c r="E454" s="2">
        <v>45788</v>
      </c>
      <c r="F454" s="2">
        <v>45812</v>
      </c>
      <c r="G454" s="2"/>
      <c r="H454" s="3">
        <v>0</v>
      </c>
      <c r="I454" s="4">
        <v>26000</v>
      </c>
      <c r="J454" s="4">
        <v>0</v>
      </c>
      <c r="K454" t="s">
        <v>48</v>
      </c>
      <c r="L454" s="4">
        <f t="shared" si="21"/>
        <v>26000</v>
      </c>
      <c r="M454" t="str">
        <f t="shared" si="22"/>
        <v>Within Budget</v>
      </c>
      <c r="N454">
        <f t="shared" ca="1" si="23"/>
        <v>474</v>
      </c>
    </row>
    <row r="455" spans="1:14" x14ac:dyDescent="0.25">
      <c r="A455" t="s">
        <v>109</v>
      </c>
      <c r="B455" t="s">
        <v>80</v>
      </c>
      <c r="C455" t="s">
        <v>113</v>
      </c>
      <c r="D455" t="s">
        <v>36</v>
      </c>
      <c r="E455" s="2">
        <v>45473</v>
      </c>
      <c r="F455" s="2">
        <v>45480</v>
      </c>
      <c r="G455" s="2">
        <v>45475</v>
      </c>
      <c r="H455" s="3">
        <v>0.1</v>
      </c>
      <c r="I455" s="4">
        <v>8000</v>
      </c>
      <c r="J455" s="4">
        <v>2700</v>
      </c>
      <c r="K455" t="s">
        <v>27</v>
      </c>
      <c r="L455" s="4">
        <f t="shared" si="21"/>
        <v>5300</v>
      </c>
      <c r="M455" t="str">
        <f t="shared" si="22"/>
        <v>Within Budget</v>
      </c>
      <c r="N455">
        <f t="shared" ca="1" si="23"/>
        <v>-5</v>
      </c>
    </row>
    <row r="456" spans="1:14" x14ac:dyDescent="0.25">
      <c r="A456" t="s">
        <v>99</v>
      </c>
      <c r="B456" t="s">
        <v>76</v>
      </c>
      <c r="C456" t="s">
        <v>28</v>
      </c>
      <c r="D456" t="s">
        <v>36</v>
      </c>
      <c r="E456" s="2">
        <v>45421</v>
      </c>
      <c r="F456" s="2">
        <v>45443</v>
      </c>
      <c r="G456" s="2">
        <v>45447</v>
      </c>
      <c r="H456" s="3">
        <v>1</v>
      </c>
      <c r="I456" s="4">
        <v>33000</v>
      </c>
      <c r="J456" s="4">
        <v>35900</v>
      </c>
      <c r="K456" t="s">
        <v>15</v>
      </c>
      <c r="L456" s="4">
        <f t="shared" si="21"/>
        <v>-2900</v>
      </c>
      <c r="M456" t="str">
        <f t="shared" si="22"/>
        <v>Over Budget</v>
      </c>
      <c r="N456">
        <f t="shared" ca="1" si="23"/>
        <v>4</v>
      </c>
    </row>
    <row r="457" spans="1:14" x14ac:dyDescent="0.25">
      <c r="A457" t="s">
        <v>33</v>
      </c>
      <c r="B457" t="s">
        <v>102</v>
      </c>
      <c r="C457" t="s">
        <v>26</v>
      </c>
      <c r="D457" t="s">
        <v>32</v>
      </c>
      <c r="E457" s="2">
        <v>45555</v>
      </c>
      <c r="F457" s="2">
        <v>45560</v>
      </c>
      <c r="G457" s="2">
        <v>45552</v>
      </c>
      <c r="H457" s="3">
        <v>1</v>
      </c>
      <c r="I457" s="4">
        <v>10000</v>
      </c>
      <c r="J457" s="4">
        <v>8700</v>
      </c>
      <c r="K457" t="s">
        <v>15</v>
      </c>
      <c r="L457" s="4">
        <f t="shared" si="21"/>
        <v>1300</v>
      </c>
      <c r="M457" t="str">
        <f t="shared" si="22"/>
        <v>Within Budget</v>
      </c>
      <c r="N457">
        <f t="shared" ca="1" si="23"/>
        <v>-8</v>
      </c>
    </row>
    <row r="458" spans="1:14" x14ac:dyDescent="0.25">
      <c r="A458" t="s">
        <v>81</v>
      </c>
      <c r="B458" t="s">
        <v>95</v>
      </c>
      <c r="C458" t="s">
        <v>18</v>
      </c>
      <c r="D458" t="s">
        <v>36</v>
      </c>
      <c r="E458" s="2">
        <v>45350</v>
      </c>
      <c r="F458" s="2">
        <v>45358</v>
      </c>
      <c r="G458" s="2">
        <v>45362</v>
      </c>
      <c r="H458" s="3">
        <v>1</v>
      </c>
      <c r="I458" s="4">
        <v>13000</v>
      </c>
      <c r="J458" s="4">
        <v>14400</v>
      </c>
      <c r="K458" t="s">
        <v>15</v>
      </c>
      <c r="L458" s="4">
        <f t="shared" si="21"/>
        <v>-1400</v>
      </c>
      <c r="M458" t="str">
        <f t="shared" si="22"/>
        <v>Over Budget</v>
      </c>
      <c r="N458">
        <f t="shared" ca="1" si="23"/>
        <v>4</v>
      </c>
    </row>
    <row r="459" spans="1:14" x14ac:dyDescent="0.25">
      <c r="A459" t="s">
        <v>99</v>
      </c>
      <c r="B459" t="s">
        <v>34</v>
      </c>
      <c r="C459" t="s">
        <v>100</v>
      </c>
      <c r="D459" t="s">
        <v>14</v>
      </c>
      <c r="E459" s="2">
        <v>45731</v>
      </c>
      <c r="F459" s="2">
        <v>45750</v>
      </c>
      <c r="G459" s="2"/>
      <c r="H459" s="3">
        <v>0.75</v>
      </c>
      <c r="I459" s="4">
        <v>25000</v>
      </c>
      <c r="J459" s="4">
        <v>19700</v>
      </c>
      <c r="K459" t="s">
        <v>65</v>
      </c>
      <c r="L459" s="4">
        <f t="shared" si="21"/>
        <v>5300</v>
      </c>
      <c r="M459" t="str">
        <f t="shared" si="22"/>
        <v>Within Budget</v>
      </c>
      <c r="N459">
        <f t="shared" ca="1" si="23"/>
        <v>536</v>
      </c>
    </row>
    <row r="460" spans="1:14" x14ac:dyDescent="0.25">
      <c r="A460" t="s">
        <v>109</v>
      </c>
      <c r="B460" t="s">
        <v>119</v>
      </c>
      <c r="C460" t="s">
        <v>112</v>
      </c>
      <c r="D460" t="s">
        <v>36</v>
      </c>
      <c r="E460" s="2">
        <v>45625</v>
      </c>
      <c r="F460" s="2">
        <v>45644</v>
      </c>
      <c r="G460" s="2">
        <v>45659</v>
      </c>
      <c r="H460" s="3">
        <v>1</v>
      </c>
      <c r="I460" s="4">
        <v>10000</v>
      </c>
      <c r="J460" s="4">
        <v>11800</v>
      </c>
      <c r="K460" t="s">
        <v>15</v>
      </c>
      <c r="L460" s="4">
        <f t="shared" si="21"/>
        <v>-1800</v>
      </c>
      <c r="M460" t="str">
        <f t="shared" si="22"/>
        <v>Over Budget</v>
      </c>
      <c r="N460">
        <f t="shared" ca="1" si="23"/>
        <v>15</v>
      </c>
    </row>
    <row r="461" spans="1:14" x14ac:dyDescent="0.25">
      <c r="A461" t="s">
        <v>45</v>
      </c>
      <c r="B461" t="s">
        <v>96</v>
      </c>
      <c r="C461" t="s">
        <v>18</v>
      </c>
      <c r="D461" t="s">
        <v>23</v>
      </c>
      <c r="E461" s="2">
        <v>45775</v>
      </c>
      <c r="F461" s="2">
        <v>45807</v>
      </c>
      <c r="G461" s="2"/>
      <c r="H461" s="3">
        <v>0.35</v>
      </c>
      <c r="I461" s="4">
        <v>87000</v>
      </c>
      <c r="J461" s="4">
        <v>35900</v>
      </c>
      <c r="K461" t="s">
        <v>65</v>
      </c>
      <c r="L461" s="4">
        <f t="shared" si="21"/>
        <v>51100</v>
      </c>
      <c r="M461" t="str">
        <f t="shared" si="22"/>
        <v>Within Budget</v>
      </c>
      <c r="N461">
        <f t="shared" ca="1" si="23"/>
        <v>479</v>
      </c>
    </row>
    <row r="462" spans="1:14" x14ac:dyDescent="0.25">
      <c r="A462" t="s">
        <v>121</v>
      </c>
      <c r="B462" t="s">
        <v>51</v>
      </c>
      <c r="C462" t="s">
        <v>105</v>
      </c>
      <c r="D462" t="s">
        <v>36</v>
      </c>
      <c r="E462" s="2">
        <v>45581</v>
      </c>
      <c r="F462" s="2">
        <v>45590</v>
      </c>
      <c r="G462" s="2">
        <v>45614</v>
      </c>
      <c r="H462" s="3">
        <v>1</v>
      </c>
      <c r="I462" s="4">
        <v>7000</v>
      </c>
      <c r="J462" s="4">
        <v>7900</v>
      </c>
      <c r="K462" t="s">
        <v>15</v>
      </c>
      <c r="L462" s="4">
        <f t="shared" si="21"/>
        <v>-900</v>
      </c>
      <c r="M462" t="str">
        <f t="shared" si="22"/>
        <v>Over Budget</v>
      </c>
      <c r="N462">
        <f t="shared" ca="1" si="23"/>
        <v>24</v>
      </c>
    </row>
    <row r="463" spans="1:14" x14ac:dyDescent="0.25">
      <c r="A463" t="s">
        <v>42</v>
      </c>
      <c r="B463" t="s">
        <v>25</v>
      </c>
      <c r="C463" t="s">
        <v>28</v>
      </c>
      <c r="D463" t="s">
        <v>23</v>
      </c>
      <c r="E463" s="2">
        <v>45624</v>
      </c>
      <c r="F463" s="2">
        <v>45657</v>
      </c>
      <c r="G463" s="2">
        <v>45692</v>
      </c>
      <c r="H463" s="3">
        <v>1</v>
      </c>
      <c r="I463" s="4">
        <v>86000</v>
      </c>
      <c r="J463" s="4">
        <v>93200</v>
      </c>
      <c r="K463" t="s">
        <v>15</v>
      </c>
      <c r="L463" s="4">
        <f t="shared" si="21"/>
        <v>-7200</v>
      </c>
      <c r="M463" t="str">
        <f t="shared" si="22"/>
        <v>Over Budget</v>
      </c>
      <c r="N463">
        <f t="shared" ca="1" si="23"/>
        <v>35</v>
      </c>
    </row>
    <row r="464" spans="1:14" x14ac:dyDescent="0.25">
      <c r="A464" t="s">
        <v>33</v>
      </c>
      <c r="B464" t="s">
        <v>64</v>
      </c>
      <c r="C464" t="s">
        <v>112</v>
      </c>
      <c r="D464" t="s">
        <v>23</v>
      </c>
      <c r="E464" s="2">
        <v>45362</v>
      </c>
      <c r="F464" s="2">
        <v>45379</v>
      </c>
      <c r="G464" s="2">
        <v>45417</v>
      </c>
      <c r="H464" s="3">
        <v>1</v>
      </c>
      <c r="I464" s="4">
        <v>34000</v>
      </c>
      <c r="J464" s="4">
        <v>40900</v>
      </c>
      <c r="K464" t="s">
        <v>15</v>
      </c>
      <c r="L464" s="4">
        <f t="shared" si="21"/>
        <v>-6900</v>
      </c>
      <c r="M464" t="str">
        <f t="shared" si="22"/>
        <v>Over Budget</v>
      </c>
      <c r="N464">
        <f t="shared" ca="1" si="23"/>
        <v>38</v>
      </c>
    </row>
    <row r="465" spans="1:14" x14ac:dyDescent="0.25">
      <c r="A465" t="s">
        <v>79</v>
      </c>
      <c r="B465" t="s">
        <v>40</v>
      </c>
      <c r="C465" t="s">
        <v>44</v>
      </c>
      <c r="D465" t="s">
        <v>23</v>
      </c>
      <c r="E465" s="2">
        <v>45736</v>
      </c>
      <c r="F465" s="2">
        <v>45766</v>
      </c>
      <c r="G465" s="2"/>
      <c r="H465" s="3">
        <v>0</v>
      </c>
      <c r="I465" s="4">
        <v>37000</v>
      </c>
      <c r="J465" s="4">
        <v>0</v>
      </c>
      <c r="K465" t="s">
        <v>48</v>
      </c>
      <c r="L465" s="4">
        <f t="shared" si="21"/>
        <v>37000</v>
      </c>
      <c r="M465" t="str">
        <f t="shared" si="22"/>
        <v>Within Budget</v>
      </c>
      <c r="N465">
        <f t="shared" ca="1" si="23"/>
        <v>520</v>
      </c>
    </row>
    <row r="466" spans="1:14" x14ac:dyDescent="0.25">
      <c r="A466" t="s">
        <v>107</v>
      </c>
      <c r="B466" t="s">
        <v>80</v>
      </c>
      <c r="C466" t="s">
        <v>111</v>
      </c>
      <c r="D466" t="s">
        <v>36</v>
      </c>
      <c r="E466" s="2">
        <v>45588</v>
      </c>
      <c r="F466" s="2">
        <v>45596</v>
      </c>
      <c r="G466" s="2"/>
      <c r="H466" s="3">
        <v>0.61</v>
      </c>
      <c r="I466" s="4">
        <v>3000</v>
      </c>
      <c r="J466" s="4">
        <v>3700</v>
      </c>
      <c r="K466" t="s">
        <v>19</v>
      </c>
      <c r="L466" s="4">
        <f t="shared" si="21"/>
        <v>-700</v>
      </c>
      <c r="M466" t="str">
        <f t="shared" si="22"/>
        <v>Over Budget</v>
      </c>
      <c r="N466">
        <f t="shared" ca="1" si="23"/>
        <v>690</v>
      </c>
    </row>
    <row r="467" spans="1:14" x14ac:dyDescent="0.25">
      <c r="A467" t="s">
        <v>29</v>
      </c>
      <c r="B467" t="s">
        <v>89</v>
      </c>
      <c r="C467" t="s">
        <v>22</v>
      </c>
      <c r="D467" t="s">
        <v>23</v>
      </c>
      <c r="E467" s="2">
        <v>45796</v>
      </c>
      <c r="F467" s="2">
        <v>45807</v>
      </c>
      <c r="G467" s="2"/>
      <c r="H467" s="3">
        <v>0.47</v>
      </c>
      <c r="I467" s="4">
        <v>17000</v>
      </c>
      <c r="J467" s="4">
        <v>6700</v>
      </c>
      <c r="K467" t="s">
        <v>65</v>
      </c>
      <c r="L467" s="4">
        <f t="shared" si="21"/>
        <v>10300</v>
      </c>
      <c r="M467" t="str">
        <f t="shared" si="22"/>
        <v>Within Budget</v>
      </c>
      <c r="N467">
        <f t="shared" ca="1" si="23"/>
        <v>479</v>
      </c>
    </row>
    <row r="468" spans="1:14" x14ac:dyDescent="0.25">
      <c r="A468" t="s">
        <v>91</v>
      </c>
      <c r="B468" t="s">
        <v>46</v>
      </c>
      <c r="C468" t="s">
        <v>106</v>
      </c>
      <c r="D468" t="s">
        <v>14</v>
      </c>
      <c r="E468" s="2">
        <v>45821</v>
      </c>
      <c r="F468" s="2">
        <v>45830</v>
      </c>
      <c r="G468" s="2"/>
      <c r="H468" s="3">
        <v>0</v>
      </c>
      <c r="I468" s="4">
        <v>11000</v>
      </c>
      <c r="J468" s="4">
        <v>0</v>
      </c>
      <c r="K468" t="s">
        <v>48</v>
      </c>
      <c r="L468" s="4">
        <f t="shared" si="21"/>
        <v>11000</v>
      </c>
      <c r="M468" t="str">
        <f t="shared" si="22"/>
        <v>Within Budget</v>
      </c>
      <c r="N468">
        <f t="shared" ca="1" si="23"/>
        <v>456</v>
      </c>
    </row>
    <row r="469" spans="1:14" x14ac:dyDescent="0.25">
      <c r="A469" t="s">
        <v>77</v>
      </c>
      <c r="B469" t="s">
        <v>115</v>
      </c>
      <c r="C469" t="s">
        <v>87</v>
      </c>
      <c r="D469" t="s">
        <v>36</v>
      </c>
      <c r="E469" s="2">
        <v>45656</v>
      </c>
      <c r="F469" s="2">
        <v>45690</v>
      </c>
      <c r="G469" s="2"/>
      <c r="H469" s="3">
        <v>0.8</v>
      </c>
      <c r="I469" s="4">
        <v>40000</v>
      </c>
      <c r="J469" s="4">
        <v>37400</v>
      </c>
      <c r="K469" t="s">
        <v>19</v>
      </c>
      <c r="L469" s="4">
        <f t="shared" si="21"/>
        <v>2600</v>
      </c>
      <c r="M469" t="str">
        <f t="shared" si="22"/>
        <v>Within Budget</v>
      </c>
      <c r="N469">
        <f t="shared" ca="1" si="23"/>
        <v>596</v>
      </c>
    </row>
    <row r="470" spans="1:14" x14ac:dyDescent="0.25">
      <c r="A470" t="s">
        <v>72</v>
      </c>
      <c r="B470" t="s">
        <v>78</v>
      </c>
      <c r="C470" t="s">
        <v>28</v>
      </c>
      <c r="D470" t="s">
        <v>36</v>
      </c>
      <c r="E470" s="2">
        <v>45626</v>
      </c>
      <c r="F470" s="2">
        <v>45657</v>
      </c>
      <c r="G470" s="2">
        <v>45657</v>
      </c>
      <c r="H470" s="3">
        <v>1</v>
      </c>
      <c r="I470" s="4">
        <v>91000</v>
      </c>
      <c r="J470" s="4">
        <v>109600</v>
      </c>
      <c r="K470" t="s">
        <v>15</v>
      </c>
      <c r="L470" s="4">
        <f t="shared" si="21"/>
        <v>-18600</v>
      </c>
      <c r="M470" t="str">
        <f t="shared" si="22"/>
        <v>Over Budget</v>
      </c>
      <c r="N470">
        <f t="shared" ca="1" si="23"/>
        <v>0</v>
      </c>
    </row>
    <row r="471" spans="1:14" x14ac:dyDescent="0.25">
      <c r="A471" t="s">
        <v>66</v>
      </c>
      <c r="B471" t="s">
        <v>114</v>
      </c>
      <c r="C471" t="s">
        <v>100</v>
      </c>
      <c r="D471" t="s">
        <v>23</v>
      </c>
      <c r="E471" s="2">
        <v>45755</v>
      </c>
      <c r="F471" s="2">
        <v>45784</v>
      </c>
      <c r="G471" s="2"/>
      <c r="H471" s="3">
        <v>0.36</v>
      </c>
      <c r="I471" s="4">
        <v>35000</v>
      </c>
      <c r="J471" s="4">
        <v>12600</v>
      </c>
      <c r="K471" t="s">
        <v>65</v>
      </c>
      <c r="L471" s="4">
        <f t="shared" si="21"/>
        <v>22400</v>
      </c>
      <c r="M471" t="str">
        <f t="shared" si="22"/>
        <v>Within Budget</v>
      </c>
      <c r="N471">
        <f t="shared" ca="1" si="23"/>
        <v>502</v>
      </c>
    </row>
    <row r="472" spans="1:14" x14ac:dyDescent="0.25">
      <c r="A472" t="s">
        <v>91</v>
      </c>
      <c r="B472" t="s">
        <v>88</v>
      </c>
      <c r="C472" t="s">
        <v>105</v>
      </c>
      <c r="D472" t="s">
        <v>23</v>
      </c>
      <c r="E472" s="2">
        <v>45435</v>
      </c>
      <c r="F472" s="2">
        <v>45461</v>
      </c>
      <c r="G472" s="2">
        <v>45462</v>
      </c>
      <c r="H472" s="3">
        <v>1</v>
      </c>
      <c r="I472" s="4">
        <v>41000</v>
      </c>
      <c r="J472" s="4">
        <v>54700</v>
      </c>
      <c r="K472" t="s">
        <v>15</v>
      </c>
      <c r="L472" s="4">
        <f t="shared" si="21"/>
        <v>-13700</v>
      </c>
      <c r="M472" t="str">
        <f t="shared" si="22"/>
        <v>Over Budget</v>
      </c>
      <c r="N472">
        <f t="shared" ca="1" si="23"/>
        <v>1</v>
      </c>
    </row>
    <row r="473" spans="1:14" x14ac:dyDescent="0.25">
      <c r="A473" t="s">
        <v>45</v>
      </c>
      <c r="B473" t="s">
        <v>116</v>
      </c>
      <c r="C473" t="s">
        <v>97</v>
      </c>
      <c r="D473" t="s">
        <v>14</v>
      </c>
      <c r="E473" s="2">
        <v>45638</v>
      </c>
      <c r="F473" s="2">
        <v>45645</v>
      </c>
      <c r="G473" s="2">
        <v>45655</v>
      </c>
      <c r="H473" s="3">
        <v>1</v>
      </c>
      <c r="I473" s="4">
        <v>3000</v>
      </c>
      <c r="J473" s="4">
        <v>3900</v>
      </c>
      <c r="K473" t="s">
        <v>15</v>
      </c>
      <c r="L473" s="4">
        <f t="shared" si="21"/>
        <v>-900</v>
      </c>
      <c r="M473" t="str">
        <f t="shared" si="22"/>
        <v>Over Budget</v>
      </c>
      <c r="N473">
        <f t="shared" ca="1" si="23"/>
        <v>10</v>
      </c>
    </row>
    <row r="474" spans="1:14" x14ac:dyDescent="0.25">
      <c r="A474" t="s">
        <v>103</v>
      </c>
      <c r="B474" t="s">
        <v>75</v>
      </c>
      <c r="C474" t="s">
        <v>71</v>
      </c>
      <c r="D474" t="s">
        <v>36</v>
      </c>
      <c r="E474" s="2">
        <v>45329</v>
      </c>
      <c r="F474" s="2">
        <v>45343</v>
      </c>
      <c r="G474" s="2">
        <v>45359</v>
      </c>
      <c r="H474" s="3">
        <v>1</v>
      </c>
      <c r="I474" s="4">
        <v>15000</v>
      </c>
      <c r="J474" s="4">
        <v>15400</v>
      </c>
      <c r="K474" t="s">
        <v>15</v>
      </c>
      <c r="L474" s="4">
        <f t="shared" si="21"/>
        <v>-400</v>
      </c>
      <c r="M474" t="str">
        <f t="shared" si="22"/>
        <v>Over Budget</v>
      </c>
      <c r="N474">
        <f t="shared" ca="1" si="23"/>
        <v>16</v>
      </c>
    </row>
    <row r="475" spans="1:14" x14ac:dyDescent="0.25">
      <c r="A475" t="s">
        <v>45</v>
      </c>
      <c r="B475" t="s">
        <v>84</v>
      </c>
      <c r="C475" t="s">
        <v>71</v>
      </c>
      <c r="D475" t="s">
        <v>32</v>
      </c>
      <c r="E475" s="2">
        <v>45463</v>
      </c>
      <c r="F475" s="2">
        <v>45489</v>
      </c>
      <c r="G475" s="2"/>
      <c r="H475" s="3">
        <v>0.28999999999999998</v>
      </c>
      <c r="I475" s="4">
        <v>22000</v>
      </c>
      <c r="J475" s="4">
        <v>28300</v>
      </c>
      <c r="K475" t="s">
        <v>19</v>
      </c>
      <c r="L475" s="4">
        <f t="shared" si="21"/>
        <v>-6300</v>
      </c>
      <c r="M475" t="str">
        <f t="shared" si="22"/>
        <v>Over Budget</v>
      </c>
      <c r="N475">
        <f t="shared" ca="1" si="23"/>
        <v>797</v>
      </c>
    </row>
    <row r="476" spans="1:14" x14ac:dyDescent="0.25">
      <c r="A476" t="s">
        <v>16</v>
      </c>
      <c r="B476" t="s">
        <v>101</v>
      </c>
      <c r="C476" t="s">
        <v>113</v>
      </c>
      <c r="D476" t="s">
        <v>23</v>
      </c>
      <c r="E476" s="2">
        <v>45587</v>
      </c>
      <c r="F476" s="2">
        <v>45614</v>
      </c>
      <c r="G476" s="2">
        <v>45606</v>
      </c>
      <c r="H476" s="3">
        <v>1</v>
      </c>
      <c r="I476" s="4">
        <v>39000</v>
      </c>
      <c r="J476" s="4">
        <v>43000</v>
      </c>
      <c r="K476" t="s">
        <v>15</v>
      </c>
      <c r="L476" s="4">
        <f t="shared" si="21"/>
        <v>-4000</v>
      </c>
      <c r="M476" t="str">
        <f t="shared" si="22"/>
        <v>Over Budget</v>
      </c>
      <c r="N476">
        <f t="shared" ca="1" si="23"/>
        <v>-8</v>
      </c>
    </row>
    <row r="477" spans="1:14" x14ac:dyDescent="0.25">
      <c r="A477" t="s">
        <v>53</v>
      </c>
      <c r="B477" t="s">
        <v>21</v>
      </c>
      <c r="C477" t="s">
        <v>41</v>
      </c>
      <c r="D477" t="s">
        <v>14</v>
      </c>
      <c r="E477" s="2">
        <v>45384</v>
      </c>
      <c r="F477" s="2">
        <v>45396</v>
      </c>
      <c r="G477" s="2">
        <v>45413</v>
      </c>
      <c r="H477" s="3">
        <v>1</v>
      </c>
      <c r="I477" s="4">
        <v>39000</v>
      </c>
      <c r="J477" s="4">
        <v>38800</v>
      </c>
      <c r="K477" t="s">
        <v>15</v>
      </c>
      <c r="L477" s="4">
        <f t="shared" si="21"/>
        <v>200</v>
      </c>
      <c r="M477" t="str">
        <f t="shared" si="22"/>
        <v>Within Budget</v>
      </c>
      <c r="N477">
        <f t="shared" ca="1" si="23"/>
        <v>17</v>
      </c>
    </row>
    <row r="478" spans="1:14" x14ac:dyDescent="0.25">
      <c r="A478" t="s">
        <v>120</v>
      </c>
      <c r="B478" t="s">
        <v>21</v>
      </c>
      <c r="C478" t="s">
        <v>22</v>
      </c>
      <c r="D478" t="s">
        <v>23</v>
      </c>
      <c r="E478" s="2">
        <v>45575</v>
      </c>
      <c r="F478" s="2">
        <v>45607</v>
      </c>
      <c r="G478" s="2">
        <v>45605</v>
      </c>
      <c r="H478" s="3">
        <v>1</v>
      </c>
      <c r="I478" s="4">
        <v>49000</v>
      </c>
      <c r="J478" s="4">
        <v>60500</v>
      </c>
      <c r="K478" t="s">
        <v>15</v>
      </c>
      <c r="L478" s="4">
        <f t="shared" si="21"/>
        <v>-11500</v>
      </c>
      <c r="M478" t="str">
        <f t="shared" si="22"/>
        <v>Over Budget</v>
      </c>
      <c r="N478">
        <f t="shared" ca="1" si="23"/>
        <v>-2</v>
      </c>
    </row>
    <row r="479" spans="1:14" x14ac:dyDescent="0.25">
      <c r="A479" t="s">
        <v>77</v>
      </c>
      <c r="B479" t="s">
        <v>122</v>
      </c>
      <c r="C479" t="s">
        <v>35</v>
      </c>
      <c r="D479" t="s">
        <v>36</v>
      </c>
      <c r="E479" s="2">
        <v>45362</v>
      </c>
      <c r="F479" s="2">
        <v>45379</v>
      </c>
      <c r="G479" s="2">
        <v>45407</v>
      </c>
      <c r="H479" s="3">
        <v>1</v>
      </c>
      <c r="I479" s="4">
        <v>18000</v>
      </c>
      <c r="J479" s="4">
        <v>17300</v>
      </c>
      <c r="K479" t="s">
        <v>15</v>
      </c>
      <c r="L479" s="4">
        <f t="shared" si="21"/>
        <v>700</v>
      </c>
      <c r="M479" t="str">
        <f t="shared" si="22"/>
        <v>Within Budget</v>
      </c>
      <c r="N479">
        <f t="shared" ca="1" si="23"/>
        <v>28</v>
      </c>
    </row>
    <row r="480" spans="1:14" x14ac:dyDescent="0.25">
      <c r="A480" t="s">
        <v>55</v>
      </c>
      <c r="B480" t="s">
        <v>89</v>
      </c>
      <c r="C480" t="s">
        <v>18</v>
      </c>
      <c r="D480" t="s">
        <v>36</v>
      </c>
      <c r="E480" s="2">
        <v>45738</v>
      </c>
      <c r="F480" s="2">
        <v>45746</v>
      </c>
      <c r="G480" s="2"/>
      <c r="H480" s="3">
        <v>0</v>
      </c>
      <c r="I480" s="4">
        <v>3000</v>
      </c>
      <c r="J480" s="4">
        <v>0</v>
      </c>
      <c r="K480" t="s">
        <v>48</v>
      </c>
      <c r="L480" s="4">
        <f t="shared" si="21"/>
        <v>3000</v>
      </c>
      <c r="M480" t="str">
        <f t="shared" si="22"/>
        <v>Within Budget</v>
      </c>
      <c r="N480">
        <f t="shared" ca="1" si="23"/>
        <v>540</v>
      </c>
    </row>
    <row r="481" spans="1:14" x14ac:dyDescent="0.25">
      <c r="A481" t="s">
        <v>66</v>
      </c>
      <c r="B481" t="s">
        <v>76</v>
      </c>
      <c r="C481" t="s">
        <v>41</v>
      </c>
      <c r="D481" t="s">
        <v>14</v>
      </c>
      <c r="E481" s="2">
        <v>45539</v>
      </c>
      <c r="F481" s="2">
        <v>45551</v>
      </c>
      <c r="G481" s="2">
        <v>45549</v>
      </c>
      <c r="H481" s="3">
        <v>1</v>
      </c>
      <c r="I481" s="4">
        <v>41000</v>
      </c>
      <c r="J481" s="4">
        <v>47000</v>
      </c>
      <c r="K481" t="s">
        <v>15</v>
      </c>
      <c r="L481" s="4">
        <f t="shared" si="21"/>
        <v>-6000</v>
      </c>
      <c r="M481" t="str">
        <f t="shared" si="22"/>
        <v>Over Budget</v>
      </c>
      <c r="N481">
        <f t="shared" ca="1" si="23"/>
        <v>-2</v>
      </c>
    </row>
    <row r="482" spans="1:14" x14ac:dyDescent="0.25">
      <c r="A482" t="s">
        <v>118</v>
      </c>
      <c r="B482" t="s">
        <v>117</v>
      </c>
      <c r="C482" t="s">
        <v>35</v>
      </c>
      <c r="D482" t="s">
        <v>36</v>
      </c>
      <c r="E482" s="2">
        <v>45523</v>
      </c>
      <c r="F482" s="2">
        <v>45542</v>
      </c>
      <c r="G482" s="2">
        <v>45526</v>
      </c>
      <c r="H482" s="3">
        <v>0.1</v>
      </c>
      <c r="I482" s="4">
        <v>31000</v>
      </c>
      <c r="J482" s="4">
        <v>6100</v>
      </c>
      <c r="K482" t="s">
        <v>27</v>
      </c>
      <c r="L482" s="4">
        <f t="shared" si="21"/>
        <v>24900</v>
      </c>
      <c r="M482" t="str">
        <f t="shared" si="22"/>
        <v>Within Budget</v>
      </c>
      <c r="N482">
        <f t="shared" ca="1" si="23"/>
        <v>-16</v>
      </c>
    </row>
    <row r="483" spans="1:14" x14ac:dyDescent="0.25">
      <c r="A483" t="s">
        <v>107</v>
      </c>
      <c r="B483" t="s">
        <v>80</v>
      </c>
      <c r="C483" t="s">
        <v>106</v>
      </c>
      <c r="D483" t="s">
        <v>14</v>
      </c>
      <c r="E483" s="2">
        <v>45831</v>
      </c>
      <c r="F483" s="2">
        <v>45836</v>
      </c>
      <c r="G483" s="2"/>
      <c r="H483" s="3">
        <v>0.15</v>
      </c>
      <c r="I483" s="4">
        <v>8000</v>
      </c>
      <c r="J483" s="4">
        <v>1100</v>
      </c>
      <c r="K483" t="s">
        <v>65</v>
      </c>
      <c r="L483" s="4">
        <f t="shared" si="21"/>
        <v>6900</v>
      </c>
      <c r="M483" t="str">
        <f t="shared" si="22"/>
        <v>Within Budget</v>
      </c>
      <c r="N483">
        <f t="shared" ca="1" si="23"/>
        <v>450</v>
      </c>
    </row>
    <row r="484" spans="1:14" x14ac:dyDescent="0.25">
      <c r="A484" t="s">
        <v>104</v>
      </c>
      <c r="B484" t="s">
        <v>17</v>
      </c>
      <c r="C484" t="s">
        <v>31</v>
      </c>
      <c r="D484" t="s">
        <v>14</v>
      </c>
      <c r="E484" s="2">
        <v>45721</v>
      </c>
      <c r="F484" s="2">
        <v>45731</v>
      </c>
      <c r="G484" s="2"/>
      <c r="H484" s="3">
        <v>0</v>
      </c>
      <c r="I484" s="4">
        <v>3000</v>
      </c>
      <c r="J484" s="4">
        <v>0</v>
      </c>
      <c r="K484" t="s">
        <v>48</v>
      </c>
      <c r="L484" s="4">
        <f t="shared" si="21"/>
        <v>3000</v>
      </c>
      <c r="M484" t="str">
        <f t="shared" si="22"/>
        <v>Within Budget</v>
      </c>
      <c r="N484">
        <f t="shared" ca="1" si="23"/>
        <v>555</v>
      </c>
    </row>
    <row r="485" spans="1:14" x14ac:dyDescent="0.25">
      <c r="A485" t="s">
        <v>118</v>
      </c>
      <c r="B485" t="s">
        <v>122</v>
      </c>
      <c r="C485" t="s">
        <v>106</v>
      </c>
      <c r="D485" t="s">
        <v>14</v>
      </c>
      <c r="E485" s="2">
        <v>45741</v>
      </c>
      <c r="F485" s="2">
        <v>45765</v>
      </c>
      <c r="G485" s="2"/>
      <c r="H485" s="3">
        <v>0</v>
      </c>
      <c r="I485" s="4">
        <v>42000</v>
      </c>
      <c r="J485" s="4">
        <v>0</v>
      </c>
      <c r="K485" t="s">
        <v>48</v>
      </c>
      <c r="L485" s="4">
        <f t="shared" si="21"/>
        <v>42000</v>
      </c>
      <c r="M485" t="str">
        <f t="shared" si="22"/>
        <v>Within Budget</v>
      </c>
      <c r="N485">
        <f t="shared" ca="1" si="23"/>
        <v>521</v>
      </c>
    </row>
    <row r="486" spans="1:14" x14ac:dyDescent="0.25">
      <c r="A486" t="s">
        <v>104</v>
      </c>
      <c r="B486" t="s">
        <v>59</v>
      </c>
      <c r="C486" t="s">
        <v>112</v>
      </c>
      <c r="D486" t="s">
        <v>23</v>
      </c>
      <c r="E486" s="2">
        <v>45478</v>
      </c>
      <c r="F486" s="2">
        <v>45504</v>
      </c>
      <c r="G486" s="2">
        <v>45513</v>
      </c>
      <c r="H486" s="3">
        <v>1</v>
      </c>
      <c r="I486" s="4">
        <v>31000</v>
      </c>
      <c r="J486" s="4">
        <v>40300</v>
      </c>
      <c r="K486" t="s">
        <v>15</v>
      </c>
      <c r="L486" s="4">
        <f t="shared" si="21"/>
        <v>-9300</v>
      </c>
      <c r="M486" t="str">
        <f t="shared" si="22"/>
        <v>Over Budget</v>
      </c>
      <c r="N486">
        <f t="shared" ca="1" si="23"/>
        <v>9</v>
      </c>
    </row>
    <row r="487" spans="1:14" x14ac:dyDescent="0.25">
      <c r="A487" t="s">
        <v>45</v>
      </c>
      <c r="B487" t="s">
        <v>21</v>
      </c>
      <c r="C487" t="s">
        <v>13</v>
      </c>
      <c r="D487" t="s">
        <v>14</v>
      </c>
      <c r="E487" s="2">
        <v>45672</v>
      </c>
      <c r="F487" s="2">
        <v>45680</v>
      </c>
      <c r="G487" s="2"/>
      <c r="H487" s="3">
        <v>0.55000000000000004</v>
      </c>
      <c r="I487" s="4">
        <v>8000</v>
      </c>
      <c r="J487" s="4">
        <v>3500</v>
      </c>
      <c r="K487" t="s">
        <v>94</v>
      </c>
      <c r="L487" s="4">
        <f t="shared" si="21"/>
        <v>4500</v>
      </c>
      <c r="M487" t="str">
        <f t="shared" si="22"/>
        <v>Within Budget</v>
      </c>
      <c r="N487">
        <f t="shared" ca="1" si="23"/>
        <v>606</v>
      </c>
    </row>
    <row r="488" spans="1:14" x14ac:dyDescent="0.25">
      <c r="A488" t="s">
        <v>45</v>
      </c>
      <c r="B488" t="s">
        <v>12</v>
      </c>
      <c r="C488" t="s">
        <v>113</v>
      </c>
      <c r="D488" t="s">
        <v>23</v>
      </c>
      <c r="E488" s="2">
        <v>45700</v>
      </c>
      <c r="F488" s="2">
        <v>45716</v>
      </c>
      <c r="G488" s="2"/>
      <c r="H488" s="3">
        <v>0.17</v>
      </c>
      <c r="I488" s="4">
        <v>31000</v>
      </c>
      <c r="J488" s="4">
        <v>5400</v>
      </c>
      <c r="K488" t="s">
        <v>65</v>
      </c>
      <c r="L488" s="4">
        <f t="shared" si="21"/>
        <v>25600</v>
      </c>
      <c r="M488" t="str">
        <f t="shared" si="22"/>
        <v>Within Budget</v>
      </c>
      <c r="N488">
        <f t="shared" ca="1" si="23"/>
        <v>570</v>
      </c>
    </row>
    <row r="489" spans="1:14" x14ac:dyDescent="0.25">
      <c r="A489" t="s">
        <v>68</v>
      </c>
      <c r="B489" t="s">
        <v>51</v>
      </c>
      <c r="C489" t="s">
        <v>54</v>
      </c>
      <c r="D489" t="s">
        <v>23</v>
      </c>
      <c r="E489" s="2">
        <v>45659</v>
      </c>
      <c r="F489" s="2">
        <v>45685</v>
      </c>
      <c r="G489" s="2"/>
      <c r="H489" s="3">
        <v>0.64</v>
      </c>
      <c r="I489" s="4">
        <v>15000</v>
      </c>
      <c r="J489" s="4">
        <v>11400</v>
      </c>
      <c r="K489" t="s">
        <v>65</v>
      </c>
      <c r="L489" s="4">
        <f t="shared" si="21"/>
        <v>3600</v>
      </c>
      <c r="M489" t="str">
        <f t="shared" si="22"/>
        <v>Within Budget</v>
      </c>
      <c r="N489">
        <f t="shared" ca="1" si="23"/>
        <v>601</v>
      </c>
    </row>
    <row r="490" spans="1:14" x14ac:dyDescent="0.25">
      <c r="A490" t="s">
        <v>120</v>
      </c>
      <c r="B490" t="s">
        <v>122</v>
      </c>
      <c r="C490" t="s">
        <v>41</v>
      </c>
      <c r="D490" t="s">
        <v>36</v>
      </c>
      <c r="E490" s="2">
        <v>45678</v>
      </c>
      <c r="F490" s="2">
        <v>45711</v>
      </c>
      <c r="G490" s="2"/>
      <c r="H490" s="3">
        <v>0.26</v>
      </c>
      <c r="I490" s="4">
        <v>81000</v>
      </c>
      <c r="J490" s="4">
        <v>27700</v>
      </c>
      <c r="K490" t="s">
        <v>94</v>
      </c>
      <c r="L490" s="4">
        <f t="shared" si="21"/>
        <v>53300</v>
      </c>
      <c r="M490" t="str">
        <f t="shared" si="22"/>
        <v>Within Budget</v>
      </c>
      <c r="N490">
        <f t="shared" ca="1" si="23"/>
        <v>575</v>
      </c>
    </row>
    <row r="491" spans="1:14" x14ac:dyDescent="0.25">
      <c r="A491" t="s">
        <v>121</v>
      </c>
      <c r="B491" t="s">
        <v>76</v>
      </c>
      <c r="C491" t="s">
        <v>71</v>
      </c>
      <c r="D491" t="s">
        <v>36</v>
      </c>
      <c r="E491" s="2">
        <v>45753</v>
      </c>
      <c r="F491" s="2">
        <v>45769</v>
      </c>
      <c r="G491" s="2"/>
      <c r="H491" s="3">
        <v>0</v>
      </c>
      <c r="I491" s="4">
        <v>38000</v>
      </c>
      <c r="J491" s="4">
        <v>0</v>
      </c>
      <c r="K491" t="s">
        <v>48</v>
      </c>
      <c r="L491" s="4">
        <f t="shared" si="21"/>
        <v>38000</v>
      </c>
      <c r="M491" t="str">
        <f t="shared" si="22"/>
        <v>Within Budget</v>
      </c>
      <c r="N491">
        <f t="shared" ca="1" si="23"/>
        <v>517</v>
      </c>
    </row>
    <row r="492" spans="1:14" x14ac:dyDescent="0.25">
      <c r="A492" t="s">
        <v>62</v>
      </c>
      <c r="B492" t="s">
        <v>110</v>
      </c>
      <c r="C492" t="s">
        <v>61</v>
      </c>
      <c r="D492" t="s">
        <v>32</v>
      </c>
      <c r="E492" s="2">
        <v>45354</v>
      </c>
      <c r="F492" s="2">
        <v>45367</v>
      </c>
      <c r="G492" s="2"/>
      <c r="H492" s="3">
        <v>0.61</v>
      </c>
      <c r="I492" s="4">
        <v>41000</v>
      </c>
      <c r="J492" s="4">
        <v>52000</v>
      </c>
      <c r="K492" t="s">
        <v>19</v>
      </c>
      <c r="L492" s="4">
        <f t="shared" si="21"/>
        <v>-11000</v>
      </c>
      <c r="M492" t="str">
        <f t="shared" si="22"/>
        <v>Over Budget</v>
      </c>
      <c r="N492">
        <f t="shared" ca="1" si="23"/>
        <v>919</v>
      </c>
    </row>
    <row r="493" spans="1:14" x14ac:dyDescent="0.25">
      <c r="A493" t="s">
        <v>107</v>
      </c>
      <c r="B493" t="s">
        <v>85</v>
      </c>
      <c r="C493" t="s">
        <v>113</v>
      </c>
      <c r="D493" t="s">
        <v>36</v>
      </c>
      <c r="E493" s="2">
        <v>45298</v>
      </c>
      <c r="F493" s="2">
        <v>45331</v>
      </c>
      <c r="G493" s="2">
        <v>45333</v>
      </c>
      <c r="H493" s="3">
        <v>1</v>
      </c>
      <c r="I493" s="4">
        <v>40000</v>
      </c>
      <c r="J493" s="4">
        <v>39100</v>
      </c>
      <c r="K493" t="s">
        <v>15</v>
      </c>
      <c r="L493" s="4">
        <f t="shared" si="21"/>
        <v>900</v>
      </c>
      <c r="M493" t="str">
        <f t="shared" si="22"/>
        <v>Within Budget</v>
      </c>
      <c r="N493">
        <f t="shared" ca="1" si="23"/>
        <v>2</v>
      </c>
    </row>
    <row r="494" spans="1:14" x14ac:dyDescent="0.25">
      <c r="A494" t="s">
        <v>16</v>
      </c>
      <c r="B494" t="s">
        <v>46</v>
      </c>
      <c r="C494" t="s">
        <v>35</v>
      </c>
      <c r="D494" t="s">
        <v>14</v>
      </c>
      <c r="E494" s="2">
        <v>45439</v>
      </c>
      <c r="F494" s="2">
        <v>45450</v>
      </c>
      <c r="G494" s="2">
        <v>45442</v>
      </c>
      <c r="H494" s="3">
        <v>0</v>
      </c>
      <c r="I494" s="4">
        <v>11000</v>
      </c>
      <c r="J494" s="4">
        <v>4100</v>
      </c>
      <c r="K494" t="s">
        <v>27</v>
      </c>
      <c r="L494" s="4">
        <f t="shared" si="21"/>
        <v>6900</v>
      </c>
      <c r="M494" t="str">
        <f t="shared" si="22"/>
        <v>Within Budget</v>
      </c>
      <c r="N494">
        <f t="shared" ca="1" si="23"/>
        <v>-8</v>
      </c>
    </row>
    <row r="495" spans="1:14" x14ac:dyDescent="0.25">
      <c r="A495" t="s">
        <v>37</v>
      </c>
      <c r="B495" t="s">
        <v>43</v>
      </c>
      <c r="C495" t="s">
        <v>26</v>
      </c>
      <c r="D495" t="s">
        <v>14</v>
      </c>
      <c r="E495" s="2">
        <v>45810</v>
      </c>
      <c r="F495" s="2">
        <v>45883</v>
      </c>
      <c r="G495" s="2"/>
      <c r="H495" s="3">
        <v>0</v>
      </c>
      <c r="I495" s="4">
        <v>177000</v>
      </c>
      <c r="J495" s="4">
        <v>0</v>
      </c>
      <c r="K495" t="s">
        <v>48</v>
      </c>
      <c r="L495" s="4">
        <f t="shared" si="21"/>
        <v>177000</v>
      </c>
      <c r="M495" t="str">
        <f t="shared" si="22"/>
        <v>Within Budget</v>
      </c>
      <c r="N495">
        <f t="shared" ca="1" si="23"/>
        <v>403</v>
      </c>
    </row>
    <row r="496" spans="1:14" x14ac:dyDescent="0.25">
      <c r="A496" t="s">
        <v>99</v>
      </c>
      <c r="B496" t="s">
        <v>124</v>
      </c>
      <c r="C496" t="s">
        <v>61</v>
      </c>
      <c r="D496" t="s">
        <v>32</v>
      </c>
      <c r="E496" s="2">
        <v>45618</v>
      </c>
      <c r="F496" s="2">
        <v>45632</v>
      </c>
      <c r="G496" s="2">
        <v>45675</v>
      </c>
      <c r="H496" s="3">
        <v>1</v>
      </c>
      <c r="I496" s="4">
        <v>42000</v>
      </c>
      <c r="J496" s="4">
        <v>48400</v>
      </c>
      <c r="K496" t="s">
        <v>15</v>
      </c>
      <c r="L496" s="4">
        <f t="shared" si="21"/>
        <v>-6400</v>
      </c>
      <c r="M496" t="str">
        <f t="shared" si="22"/>
        <v>Over Budget</v>
      </c>
      <c r="N496">
        <f t="shared" ca="1" si="23"/>
        <v>43</v>
      </c>
    </row>
    <row r="497" spans="1:14" x14ac:dyDescent="0.25">
      <c r="A497" t="s">
        <v>53</v>
      </c>
      <c r="B497" t="s">
        <v>76</v>
      </c>
      <c r="C497" t="s">
        <v>22</v>
      </c>
      <c r="D497" t="s">
        <v>14</v>
      </c>
      <c r="E497" s="2">
        <v>45296</v>
      </c>
      <c r="F497" s="2">
        <v>45322</v>
      </c>
      <c r="G497" s="2">
        <v>45323</v>
      </c>
      <c r="H497" s="3">
        <v>1</v>
      </c>
      <c r="I497" s="4">
        <v>21000</v>
      </c>
      <c r="J497" s="4">
        <v>22600</v>
      </c>
      <c r="K497" t="s">
        <v>15</v>
      </c>
      <c r="L497" s="4">
        <f t="shared" si="21"/>
        <v>-1600</v>
      </c>
      <c r="M497" t="str">
        <f t="shared" si="22"/>
        <v>Over Budget</v>
      </c>
      <c r="N497">
        <f t="shared" ca="1" si="23"/>
        <v>1</v>
      </c>
    </row>
    <row r="498" spans="1:14" x14ac:dyDescent="0.25">
      <c r="A498" t="s">
        <v>120</v>
      </c>
      <c r="B498" t="s">
        <v>98</v>
      </c>
      <c r="C498" t="s">
        <v>105</v>
      </c>
      <c r="D498" t="s">
        <v>14</v>
      </c>
      <c r="E498" s="2">
        <v>45764</v>
      </c>
      <c r="F498" s="2">
        <v>45779</v>
      </c>
      <c r="G498" s="2"/>
      <c r="H498" s="3">
        <v>0.4</v>
      </c>
      <c r="I498" s="4">
        <v>37000</v>
      </c>
      <c r="J498" s="4">
        <v>14500</v>
      </c>
      <c r="K498" t="s">
        <v>65</v>
      </c>
      <c r="L498" s="4">
        <f t="shared" si="21"/>
        <v>22500</v>
      </c>
      <c r="M498" t="str">
        <f t="shared" si="22"/>
        <v>Within Budget</v>
      </c>
      <c r="N498">
        <f t="shared" ca="1" si="23"/>
        <v>507</v>
      </c>
    </row>
    <row r="499" spans="1:14" x14ac:dyDescent="0.25">
      <c r="A499" t="s">
        <v>29</v>
      </c>
      <c r="B499" t="s">
        <v>125</v>
      </c>
      <c r="C499" t="s">
        <v>111</v>
      </c>
      <c r="D499" t="s">
        <v>23</v>
      </c>
      <c r="E499" s="2">
        <v>45378</v>
      </c>
      <c r="F499" s="2">
        <v>45383</v>
      </c>
      <c r="G499" s="2">
        <v>45387</v>
      </c>
      <c r="H499" s="3">
        <v>1</v>
      </c>
      <c r="I499" s="4">
        <v>7000</v>
      </c>
      <c r="J499" s="4">
        <v>6800</v>
      </c>
      <c r="K499" t="s">
        <v>15</v>
      </c>
      <c r="L499" s="4">
        <f t="shared" si="21"/>
        <v>200</v>
      </c>
      <c r="M499" t="str">
        <f t="shared" si="22"/>
        <v>Within Budget</v>
      </c>
      <c r="N499">
        <f t="shared" ca="1" si="23"/>
        <v>4</v>
      </c>
    </row>
    <row r="500" spans="1:14" x14ac:dyDescent="0.25">
      <c r="A500" t="s">
        <v>37</v>
      </c>
      <c r="B500" t="s">
        <v>108</v>
      </c>
      <c r="C500" t="s">
        <v>106</v>
      </c>
      <c r="D500" t="s">
        <v>32</v>
      </c>
      <c r="E500" s="2">
        <v>45642</v>
      </c>
      <c r="F500" s="2">
        <v>45669</v>
      </c>
      <c r="G500" s="2"/>
      <c r="H500" s="3">
        <v>0.44</v>
      </c>
      <c r="I500" s="4">
        <v>14000</v>
      </c>
      <c r="J500" s="4">
        <v>7000</v>
      </c>
      <c r="K500" t="s">
        <v>65</v>
      </c>
      <c r="L500" s="4">
        <f t="shared" si="21"/>
        <v>7000</v>
      </c>
      <c r="M500" t="str">
        <f t="shared" si="22"/>
        <v>Within Budget</v>
      </c>
      <c r="N500">
        <f t="shared" ca="1" si="23"/>
        <v>617</v>
      </c>
    </row>
    <row r="501" spans="1:14" x14ac:dyDescent="0.25">
      <c r="A501" t="s">
        <v>24</v>
      </c>
      <c r="B501" t="s">
        <v>80</v>
      </c>
      <c r="C501" t="s">
        <v>60</v>
      </c>
      <c r="D501" t="s">
        <v>36</v>
      </c>
      <c r="E501" s="2">
        <v>45374</v>
      </c>
      <c r="F501" s="2">
        <v>45379</v>
      </c>
      <c r="G501" s="2"/>
      <c r="H501" s="3">
        <v>0.36</v>
      </c>
      <c r="I501" s="4">
        <v>15000</v>
      </c>
      <c r="J501" s="4">
        <v>12700</v>
      </c>
      <c r="K501" t="s">
        <v>19</v>
      </c>
      <c r="L501" s="4">
        <f t="shared" si="21"/>
        <v>2300</v>
      </c>
      <c r="M501" t="str">
        <f t="shared" si="22"/>
        <v>Within Budget</v>
      </c>
      <c r="N501">
        <f t="shared" ca="1" si="23"/>
        <v>907</v>
      </c>
    </row>
    <row r="502" spans="1:14" x14ac:dyDescent="0.25">
      <c r="A502" t="s">
        <v>11</v>
      </c>
      <c r="B502" t="s">
        <v>12</v>
      </c>
      <c r="C502" t="s">
        <v>18</v>
      </c>
      <c r="D502" t="s">
        <v>36</v>
      </c>
      <c r="E502" s="2">
        <v>45593</v>
      </c>
      <c r="F502" s="2">
        <v>45627</v>
      </c>
      <c r="G502" s="2">
        <v>45631</v>
      </c>
      <c r="H502" s="3">
        <v>1</v>
      </c>
      <c r="I502" s="4">
        <v>92000</v>
      </c>
      <c r="J502" s="4">
        <v>102400</v>
      </c>
      <c r="K502" t="s">
        <v>15</v>
      </c>
      <c r="L502" s="4">
        <f t="shared" si="21"/>
        <v>-10400</v>
      </c>
      <c r="M502" t="str">
        <f t="shared" si="22"/>
        <v>Over Budget</v>
      </c>
      <c r="N502">
        <f t="shared" ca="1" si="23"/>
        <v>4</v>
      </c>
    </row>
    <row r="503" spans="1:14" x14ac:dyDescent="0.25">
      <c r="A503" t="s">
        <v>99</v>
      </c>
      <c r="B503" t="s">
        <v>123</v>
      </c>
      <c r="C503" t="s">
        <v>100</v>
      </c>
      <c r="D503" t="s">
        <v>32</v>
      </c>
      <c r="E503" s="2">
        <v>45536</v>
      </c>
      <c r="F503" s="2">
        <v>45581</v>
      </c>
      <c r="G503" s="2">
        <v>45595</v>
      </c>
      <c r="H503" s="3">
        <v>1</v>
      </c>
      <c r="I503" s="4">
        <v>31000</v>
      </c>
      <c r="J503" s="4">
        <v>35500</v>
      </c>
      <c r="K503" t="s">
        <v>15</v>
      </c>
      <c r="L503" s="4">
        <f t="shared" si="21"/>
        <v>-4500</v>
      </c>
      <c r="M503" t="str">
        <f t="shared" si="22"/>
        <v>Over Budget</v>
      </c>
      <c r="N503">
        <f t="shared" ca="1" si="23"/>
        <v>14</v>
      </c>
    </row>
    <row r="504" spans="1:14" x14ac:dyDescent="0.25">
      <c r="A504" t="s">
        <v>42</v>
      </c>
      <c r="B504" t="s">
        <v>56</v>
      </c>
      <c r="C504" t="s">
        <v>111</v>
      </c>
      <c r="D504" t="s">
        <v>23</v>
      </c>
      <c r="E504" s="2">
        <v>45518</v>
      </c>
      <c r="F504" s="2">
        <v>45537</v>
      </c>
      <c r="G504" s="2">
        <v>45540</v>
      </c>
      <c r="H504" s="3">
        <v>1</v>
      </c>
      <c r="I504" s="4">
        <v>49000</v>
      </c>
      <c r="J504" s="4">
        <v>58400</v>
      </c>
      <c r="K504" t="s">
        <v>15</v>
      </c>
      <c r="L504" s="4">
        <f t="shared" si="21"/>
        <v>-9400</v>
      </c>
      <c r="M504" t="str">
        <f t="shared" si="22"/>
        <v>Over Budget</v>
      </c>
      <c r="N504">
        <f t="shared" ca="1" si="23"/>
        <v>3</v>
      </c>
    </row>
    <row r="505" spans="1:14" x14ac:dyDescent="0.25">
      <c r="A505" t="s">
        <v>33</v>
      </c>
      <c r="B505" t="s">
        <v>40</v>
      </c>
      <c r="C505" t="s">
        <v>39</v>
      </c>
      <c r="D505" t="s">
        <v>23</v>
      </c>
      <c r="E505" s="2">
        <v>45506</v>
      </c>
      <c r="F505" s="2">
        <v>45526</v>
      </c>
      <c r="G505" s="2">
        <v>45514</v>
      </c>
      <c r="H505" s="3">
        <v>0.2</v>
      </c>
      <c r="I505" s="4">
        <v>22000</v>
      </c>
      <c r="J505" s="4">
        <v>4300</v>
      </c>
      <c r="K505" t="s">
        <v>27</v>
      </c>
      <c r="L505" s="4">
        <f t="shared" si="21"/>
        <v>17700</v>
      </c>
      <c r="M505" t="str">
        <f t="shared" si="22"/>
        <v>Within Budget</v>
      </c>
      <c r="N505">
        <f t="shared" ca="1" si="23"/>
        <v>-12</v>
      </c>
    </row>
    <row r="506" spans="1:14" x14ac:dyDescent="0.25">
      <c r="A506" t="s">
        <v>11</v>
      </c>
      <c r="B506" t="s">
        <v>30</v>
      </c>
      <c r="C506" t="s">
        <v>35</v>
      </c>
      <c r="D506" t="s">
        <v>32</v>
      </c>
      <c r="E506" s="2">
        <v>45502</v>
      </c>
      <c r="F506" s="2">
        <v>45529</v>
      </c>
      <c r="G506" s="2">
        <v>45533</v>
      </c>
      <c r="H506" s="3">
        <v>1</v>
      </c>
      <c r="I506" s="4">
        <v>18000</v>
      </c>
      <c r="J506" s="4">
        <v>15300</v>
      </c>
      <c r="K506" t="s">
        <v>15</v>
      </c>
      <c r="L506" s="4">
        <f t="shared" si="21"/>
        <v>2700</v>
      </c>
      <c r="M506" t="str">
        <f t="shared" si="22"/>
        <v>Within Budget</v>
      </c>
      <c r="N506">
        <f t="shared" ca="1" si="23"/>
        <v>4</v>
      </c>
    </row>
    <row r="507" spans="1:14" x14ac:dyDescent="0.25">
      <c r="A507" t="s">
        <v>104</v>
      </c>
      <c r="B507" t="s">
        <v>85</v>
      </c>
      <c r="C507" t="s">
        <v>35</v>
      </c>
      <c r="D507" t="s">
        <v>36</v>
      </c>
      <c r="E507" s="2">
        <v>45627</v>
      </c>
      <c r="F507" s="2">
        <v>45654</v>
      </c>
      <c r="G507" s="2">
        <v>45660</v>
      </c>
      <c r="H507" s="3">
        <v>1</v>
      </c>
      <c r="I507" s="4">
        <v>47000</v>
      </c>
      <c r="J507" s="4">
        <v>50700</v>
      </c>
      <c r="K507" t="s">
        <v>15</v>
      </c>
      <c r="L507" s="4">
        <f t="shared" si="21"/>
        <v>-3700</v>
      </c>
      <c r="M507" t="str">
        <f t="shared" si="22"/>
        <v>Over Budget</v>
      </c>
      <c r="N507">
        <f t="shared" ca="1" si="23"/>
        <v>6</v>
      </c>
    </row>
    <row r="508" spans="1:14" x14ac:dyDescent="0.25">
      <c r="A508" t="s">
        <v>120</v>
      </c>
      <c r="B508" t="s">
        <v>17</v>
      </c>
      <c r="C508" t="s">
        <v>105</v>
      </c>
      <c r="D508" t="s">
        <v>23</v>
      </c>
      <c r="E508" s="2">
        <v>45741</v>
      </c>
      <c r="F508" s="2">
        <v>45757</v>
      </c>
      <c r="G508" s="2"/>
      <c r="H508" s="3">
        <v>0</v>
      </c>
      <c r="I508" s="4">
        <v>33000</v>
      </c>
      <c r="J508" s="4">
        <v>0</v>
      </c>
      <c r="K508" t="s">
        <v>48</v>
      </c>
      <c r="L508" s="4">
        <f t="shared" si="21"/>
        <v>33000</v>
      </c>
      <c r="M508" t="str">
        <f t="shared" si="22"/>
        <v>Within Budget</v>
      </c>
      <c r="N508">
        <f t="shared" ca="1" si="23"/>
        <v>529</v>
      </c>
    </row>
    <row r="509" spans="1:14" x14ac:dyDescent="0.25">
      <c r="A509" t="s">
        <v>104</v>
      </c>
      <c r="B509" t="s">
        <v>114</v>
      </c>
      <c r="C509" t="s">
        <v>52</v>
      </c>
      <c r="D509" t="s">
        <v>36</v>
      </c>
      <c r="E509" s="2">
        <v>45661</v>
      </c>
      <c r="F509" s="2">
        <v>45669</v>
      </c>
      <c r="G509" s="2"/>
      <c r="H509" s="3">
        <v>0.12</v>
      </c>
      <c r="I509" s="4">
        <v>15000</v>
      </c>
      <c r="J509" s="4">
        <v>2100</v>
      </c>
      <c r="K509" t="s">
        <v>65</v>
      </c>
      <c r="L509" s="4">
        <f t="shared" si="21"/>
        <v>12900</v>
      </c>
      <c r="M509" t="str">
        <f t="shared" si="22"/>
        <v>Within Budget</v>
      </c>
      <c r="N509">
        <f t="shared" ca="1" si="23"/>
        <v>617</v>
      </c>
    </row>
    <row r="510" spans="1:14" x14ac:dyDescent="0.25">
      <c r="A510" t="s">
        <v>55</v>
      </c>
      <c r="B510" t="s">
        <v>56</v>
      </c>
      <c r="C510" t="s">
        <v>111</v>
      </c>
      <c r="D510" t="s">
        <v>23</v>
      </c>
      <c r="E510" s="2">
        <v>45317</v>
      </c>
      <c r="F510" s="2">
        <v>45340</v>
      </c>
      <c r="G510" s="2">
        <v>45321</v>
      </c>
      <c r="H510" s="3">
        <v>0.25</v>
      </c>
      <c r="I510" s="4">
        <v>27000</v>
      </c>
      <c r="J510" s="4">
        <v>5700</v>
      </c>
      <c r="K510" t="s">
        <v>27</v>
      </c>
      <c r="L510" s="4">
        <f t="shared" si="21"/>
        <v>21300</v>
      </c>
      <c r="M510" t="str">
        <f t="shared" si="22"/>
        <v>Within Budget</v>
      </c>
      <c r="N510">
        <f t="shared" ca="1" si="23"/>
        <v>-19</v>
      </c>
    </row>
    <row r="511" spans="1:14" x14ac:dyDescent="0.25">
      <c r="A511" t="s">
        <v>37</v>
      </c>
      <c r="B511" t="s">
        <v>117</v>
      </c>
      <c r="C511" t="s">
        <v>52</v>
      </c>
      <c r="D511" t="s">
        <v>36</v>
      </c>
      <c r="E511" s="2">
        <v>45500</v>
      </c>
      <c r="F511" s="2">
        <v>45507</v>
      </c>
      <c r="G511" s="2">
        <v>45540</v>
      </c>
      <c r="H511" s="3">
        <v>1</v>
      </c>
      <c r="I511" s="4">
        <v>4000</v>
      </c>
      <c r="J511" s="4">
        <v>4900</v>
      </c>
      <c r="K511" t="s">
        <v>15</v>
      </c>
      <c r="L511" s="4">
        <f t="shared" si="21"/>
        <v>-900</v>
      </c>
      <c r="M511" t="str">
        <f t="shared" si="22"/>
        <v>Over Budget</v>
      </c>
      <c r="N511">
        <f t="shared" ca="1" si="23"/>
        <v>33</v>
      </c>
    </row>
    <row r="512" spans="1:14" x14ac:dyDescent="0.25">
      <c r="A512" t="s">
        <v>29</v>
      </c>
      <c r="B512" t="s">
        <v>86</v>
      </c>
      <c r="C512" t="s">
        <v>111</v>
      </c>
      <c r="D512" t="s">
        <v>14</v>
      </c>
      <c r="E512" s="2">
        <v>45479</v>
      </c>
      <c r="F512" s="2">
        <v>45487</v>
      </c>
      <c r="G512" s="2">
        <v>45482</v>
      </c>
      <c r="H512" s="3">
        <v>0.2</v>
      </c>
      <c r="I512" s="4">
        <v>8000</v>
      </c>
      <c r="J512" s="4">
        <v>1600</v>
      </c>
      <c r="K512" t="s">
        <v>27</v>
      </c>
      <c r="L512" s="4">
        <f t="shared" si="21"/>
        <v>6400</v>
      </c>
      <c r="M512" t="str">
        <f t="shared" si="22"/>
        <v>Within Budget</v>
      </c>
      <c r="N512">
        <f t="shared" ca="1" si="23"/>
        <v>-5</v>
      </c>
    </row>
    <row r="513" spans="1:14" x14ac:dyDescent="0.25">
      <c r="A513" t="s">
        <v>16</v>
      </c>
      <c r="B513" t="s">
        <v>89</v>
      </c>
      <c r="C513" t="s">
        <v>67</v>
      </c>
      <c r="D513" t="s">
        <v>23</v>
      </c>
      <c r="E513" s="2">
        <v>45324</v>
      </c>
      <c r="F513" s="2">
        <v>45343</v>
      </c>
      <c r="G513" s="2">
        <v>45328</v>
      </c>
      <c r="H513" s="3">
        <v>0.15</v>
      </c>
      <c r="I513" s="4">
        <v>33000</v>
      </c>
      <c r="J513" s="4">
        <v>10900</v>
      </c>
      <c r="K513" t="s">
        <v>27</v>
      </c>
      <c r="L513" s="4">
        <f t="shared" si="21"/>
        <v>22100</v>
      </c>
      <c r="M513" t="str">
        <f t="shared" si="22"/>
        <v>Within Budget</v>
      </c>
      <c r="N513">
        <f t="shared" ca="1" si="23"/>
        <v>-15</v>
      </c>
    </row>
    <row r="514" spans="1:14" x14ac:dyDescent="0.25">
      <c r="A514" t="s">
        <v>81</v>
      </c>
      <c r="B514" t="s">
        <v>30</v>
      </c>
      <c r="C514" t="s">
        <v>87</v>
      </c>
      <c r="D514" t="s">
        <v>36</v>
      </c>
      <c r="E514" s="2">
        <v>45312</v>
      </c>
      <c r="F514" s="2">
        <v>45343</v>
      </c>
      <c r="G514" s="2">
        <v>45336</v>
      </c>
      <c r="H514" s="3">
        <v>1</v>
      </c>
      <c r="I514" s="4">
        <v>78000</v>
      </c>
      <c r="J514" s="4">
        <v>76600</v>
      </c>
      <c r="K514" t="s">
        <v>15</v>
      </c>
      <c r="L514" s="4">
        <f t="shared" si="21"/>
        <v>1400</v>
      </c>
      <c r="M514" t="str">
        <f t="shared" si="22"/>
        <v>Within Budget</v>
      </c>
      <c r="N514">
        <f t="shared" ca="1" si="23"/>
        <v>-7</v>
      </c>
    </row>
    <row r="515" spans="1:14" x14ac:dyDescent="0.25">
      <c r="A515" t="s">
        <v>24</v>
      </c>
      <c r="B515" t="s">
        <v>116</v>
      </c>
      <c r="C515" t="s">
        <v>41</v>
      </c>
      <c r="D515" t="s">
        <v>23</v>
      </c>
      <c r="E515" s="2">
        <v>45331</v>
      </c>
      <c r="F515" s="2">
        <v>45347</v>
      </c>
      <c r="G515" s="2">
        <v>45349</v>
      </c>
      <c r="H515" s="3">
        <v>1</v>
      </c>
      <c r="I515" s="4">
        <v>44000</v>
      </c>
      <c r="J515" s="4">
        <v>52600</v>
      </c>
      <c r="K515" t="s">
        <v>15</v>
      </c>
      <c r="L515" s="4">
        <f t="shared" ref="L515:L578" si="24">I515-J515</f>
        <v>-8600</v>
      </c>
      <c r="M515" t="str">
        <f t="shared" ref="M515:M578" si="25">IF(L515&lt;0, "Over Budget", "Within Budget")</f>
        <v>Over Budget</v>
      </c>
      <c r="N515">
        <f t="shared" ref="N515:N578" ca="1" si="26">IF(G515="",TODAY()-F515,G515-F515)</f>
        <v>2</v>
      </c>
    </row>
    <row r="516" spans="1:14" x14ac:dyDescent="0.25">
      <c r="A516" t="s">
        <v>53</v>
      </c>
      <c r="B516" t="s">
        <v>73</v>
      </c>
      <c r="C516" t="s">
        <v>61</v>
      </c>
      <c r="D516" t="s">
        <v>36</v>
      </c>
      <c r="E516" s="2">
        <v>45417</v>
      </c>
      <c r="F516" s="2">
        <v>45495</v>
      </c>
      <c r="G516" s="2"/>
      <c r="H516" s="3">
        <v>0.61</v>
      </c>
      <c r="I516" s="4">
        <v>68000</v>
      </c>
      <c r="J516" s="4">
        <v>40000</v>
      </c>
      <c r="K516" t="s">
        <v>19</v>
      </c>
      <c r="L516" s="4">
        <f t="shared" si="24"/>
        <v>28000</v>
      </c>
      <c r="M516" t="str">
        <f t="shared" si="25"/>
        <v>Within Budget</v>
      </c>
      <c r="N516">
        <f t="shared" ca="1" si="26"/>
        <v>791</v>
      </c>
    </row>
    <row r="517" spans="1:14" x14ac:dyDescent="0.25">
      <c r="A517" t="s">
        <v>99</v>
      </c>
      <c r="B517" t="s">
        <v>124</v>
      </c>
      <c r="C517" t="s">
        <v>13</v>
      </c>
      <c r="D517" t="s">
        <v>32</v>
      </c>
      <c r="E517" s="2">
        <v>45554</v>
      </c>
      <c r="F517" s="2">
        <v>45584</v>
      </c>
      <c r="G517" s="2">
        <v>45592</v>
      </c>
      <c r="H517" s="3">
        <v>1</v>
      </c>
      <c r="I517" s="4">
        <v>33000</v>
      </c>
      <c r="J517" s="4">
        <v>29900</v>
      </c>
      <c r="K517" t="s">
        <v>15</v>
      </c>
      <c r="L517" s="4">
        <f t="shared" si="24"/>
        <v>3100</v>
      </c>
      <c r="M517" t="str">
        <f t="shared" si="25"/>
        <v>Within Budget</v>
      </c>
      <c r="N517">
        <f t="shared" ca="1" si="26"/>
        <v>8</v>
      </c>
    </row>
    <row r="518" spans="1:14" x14ac:dyDescent="0.25">
      <c r="A518" t="s">
        <v>37</v>
      </c>
      <c r="B518" t="s">
        <v>51</v>
      </c>
      <c r="C518" t="s">
        <v>60</v>
      </c>
      <c r="D518" t="s">
        <v>14</v>
      </c>
      <c r="E518" s="2">
        <v>45804</v>
      </c>
      <c r="F518" s="2">
        <v>45839</v>
      </c>
      <c r="G518" s="2"/>
      <c r="H518" s="3">
        <v>0.68</v>
      </c>
      <c r="I518" s="4">
        <v>71000</v>
      </c>
      <c r="J518" s="4">
        <v>49400</v>
      </c>
      <c r="K518" t="s">
        <v>65</v>
      </c>
      <c r="L518" s="4">
        <f t="shared" si="24"/>
        <v>21600</v>
      </c>
      <c r="M518" t="str">
        <f t="shared" si="25"/>
        <v>Within Budget</v>
      </c>
      <c r="N518">
        <f t="shared" ca="1" si="26"/>
        <v>447</v>
      </c>
    </row>
    <row r="519" spans="1:14" x14ac:dyDescent="0.25">
      <c r="A519" t="s">
        <v>42</v>
      </c>
      <c r="B519" t="s">
        <v>85</v>
      </c>
      <c r="C519" t="s">
        <v>22</v>
      </c>
      <c r="D519" t="s">
        <v>36</v>
      </c>
      <c r="E519" s="2">
        <v>45430</v>
      </c>
      <c r="F519" s="2">
        <v>45439</v>
      </c>
      <c r="G519" s="2">
        <v>45478</v>
      </c>
      <c r="H519" s="3">
        <v>1</v>
      </c>
      <c r="I519" s="4">
        <v>15000</v>
      </c>
      <c r="J519" s="4">
        <v>19900</v>
      </c>
      <c r="K519" t="s">
        <v>15</v>
      </c>
      <c r="L519" s="4">
        <f t="shared" si="24"/>
        <v>-4900</v>
      </c>
      <c r="M519" t="str">
        <f t="shared" si="25"/>
        <v>Over Budget</v>
      </c>
      <c r="N519">
        <f t="shared" ca="1" si="26"/>
        <v>39</v>
      </c>
    </row>
    <row r="520" spans="1:14" x14ac:dyDescent="0.25">
      <c r="A520" t="s">
        <v>77</v>
      </c>
      <c r="B520" t="s">
        <v>25</v>
      </c>
      <c r="C520" t="s">
        <v>31</v>
      </c>
      <c r="D520" t="s">
        <v>23</v>
      </c>
      <c r="E520" s="2">
        <v>45370</v>
      </c>
      <c r="F520" s="2">
        <v>45385</v>
      </c>
      <c r="G520" s="2">
        <v>45389</v>
      </c>
      <c r="H520" s="3">
        <v>1</v>
      </c>
      <c r="I520" s="4">
        <v>35000</v>
      </c>
      <c r="J520" s="4">
        <v>44400</v>
      </c>
      <c r="K520" t="s">
        <v>15</v>
      </c>
      <c r="L520" s="4">
        <f t="shared" si="24"/>
        <v>-9400</v>
      </c>
      <c r="M520" t="str">
        <f t="shared" si="25"/>
        <v>Over Budget</v>
      </c>
      <c r="N520">
        <f t="shared" ca="1" si="26"/>
        <v>4</v>
      </c>
    </row>
    <row r="521" spans="1:14" x14ac:dyDescent="0.25">
      <c r="A521" t="s">
        <v>37</v>
      </c>
      <c r="B521" t="s">
        <v>84</v>
      </c>
      <c r="C521" t="s">
        <v>26</v>
      </c>
      <c r="D521" t="s">
        <v>36</v>
      </c>
      <c r="E521" s="2">
        <v>45540</v>
      </c>
      <c r="F521" s="2">
        <v>45556</v>
      </c>
      <c r="G521" s="2">
        <v>45566</v>
      </c>
      <c r="H521" s="3">
        <v>1</v>
      </c>
      <c r="I521" s="4">
        <v>40000</v>
      </c>
      <c r="J521" s="4">
        <v>46100</v>
      </c>
      <c r="K521" t="s">
        <v>15</v>
      </c>
      <c r="L521" s="4">
        <f t="shared" si="24"/>
        <v>-6100</v>
      </c>
      <c r="M521" t="str">
        <f t="shared" si="25"/>
        <v>Over Budget</v>
      </c>
      <c r="N521">
        <f t="shared" ca="1" si="26"/>
        <v>10</v>
      </c>
    </row>
    <row r="522" spans="1:14" x14ac:dyDescent="0.25">
      <c r="A522" t="s">
        <v>83</v>
      </c>
      <c r="B522" t="s">
        <v>119</v>
      </c>
      <c r="C522" t="s">
        <v>61</v>
      </c>
      <c r="D522" t="s">
        <v>14</v>
      </c>
      <c r="E522" s="2">
        <v>45575</v>
      </c>
      <c r="F522" s="2">
        <v>45606</v>
      </c>
      <c r="G522" s="2">
        <v>45580</v>
      </c>
      <c r="H522" s="3">
        <v>0.15</v>
      </c>
      <c r="I522" s="4">
        <v>97000</v>
      </c>
      <c r="J522" s="4">
        <v>37800</v>
      </c>
      <c r="K522" t="s">
        <v>27</v>
      </c>
      <c r="L522" s="4">
        <f t="shared" si="24"/>
        <v>59200</v>
      </c>
      <c r="M522" t="str">
        <f t="shared" si="25"/>
        <v>Within Budget</v>
      </c>
      <c r="N522">
        <f t="shared" ca="1" si="26"/>
        <v>-26</v>
      </c>
    </row>
    <row r="523" spans="1:14" x14ac:dyDescent="0.25">
      <c r="A523" t="s">
        <v>29</v>
      </c>
      <c r="B523" t="s">
        <v>34</v>
      </c>
      <c r="C523" t="s">
        <v>60</v>
      </c>
      <c r="D523" t="s">
        <v>36</v>
      </c>
      <c r="E523" s="2">
        <v>45819</v>
      </c>
      <c r="F523" s="2">
        <v>45834</v>
      </c>
      <c r="G523" s="2"/>
      <c r="H523" s="3">
        <v>0</v>
      </c>
      <c r="I523" s="4">
        <v>35000</v>
      </c>
      <c r="J523" s="4">
        <v>0</v>
      </c>
      <c r="K523" t="s">
        <v>48</v>
      </c>
      <c r="L523" s="4">
        <f t="shared" si="24"/>
        <v>35000</v>
      </c>
      <c r="M523" t="str">
        <f t="shared" si="25"/>
        <v>Within Budget</v>
      </c>
      <c r="N523">
        <f t="shared" ca="1" si="26"/>
        <v>452</v>
      </c>
    </row>
    <row r="524" spans="1:14" x14ac:dyDescent="0.25">
      <c r="A524" t="s">
        <v>81</v>
      </c>
      <c r="B524" t="s">
        <v>88</v>
      </c>
      <c r="C524" t="s">
        <v>111</v>
      </c>
      <c r="D524" t="s">
        <v>36</v>
      </c>
      <c r="E524" s="2">
        <v>45711</v>
      </c>
      <c r="F524" s="2">
        <v>45746</v>
      </c>
      <c r="G524" s="2"/>
      <c r="H524" s="3">
        <v>0.51</v>
      </c>
      <c r="I524" s="4">
        <v>64000</v>
      </c>
      <c r="J524" s="4">
        <v>35800</v>
      </c>
      <c r="K524" t="s">
        <v>65</v>
      </c>
      <c r="L524" s="4">
        <f t="shared" si="24"/>
        <v>28200</v>
      </c>
      <c r="M524" t="str">
        <f t="shared" si="25"/>
        <v>Within Budget</v>
      </c>
      <c r="N524">
        <f t="shared" ca="1" si="26"/>
        <v>540</v>
      </c>
    </row>
    <row r="525" spans="1:14" x14ac:dyDescent="0.25">
      <c r="A525" t="s">
        <v>45</v>
      </c>
      <c r="B525" t="s">
        <v>125</v>
      </c>
      <c r="C525" t="s">
        <v>31</v>
      </c>
      <c r="D525" t="s">
        <v>36</v>
      </c>
      <c r="E525" s="2">
        <v>45658</v>
      </c>
      <c r="F525" s="2">
        <v>45670</v>
      </c>
      <c r="G525" s="2"/>
      <c r="H525" s="3">
        <v>0.35</v>
      </c>
      <c r="I525" s="4">
        <v>43000</v>
      </c>
      <c r="J525" s="4">
        <v>4800</v>
      </c>
      <c r="K525" t="s">
        <v>94</v>
      </c>
      <c r="L525" s="4">
        <f t="shared" si="24"/>
        <v>38200</v>
      </c>
      <c r="M525" t="str">
        <f t="shared" si="25"/>
        <v>Within Budget</v>
      </c>
      <c r="N525">
        <f t="shared" ca="1" si="26"/>
        <v>616</v>
      </c>
    </row>
    <row r="526" spans="1:14" x14ac:dyDescent="0.25">
      <c r="A526" t="s">
        <v>66</v>
      </c>
      <c r="B526" t="s">
        <v>51</v>
      </c>
      <c r="C526" t="s">
        <v>87</v>
      </c>
      <c r="D526" t="s">
        <v>36</v>
      </c>
      <c r="E526" s="2">
        <v>45831</v>
      </c>
      <c r="F526" s="2">
        <v>45840</v>
      </c>
      <c r="G526" s="2"/>
      <c r="H526" s="3">
        <v>0</v>
      </c>
      <c r="I526" s="4">
        <v>11000</v>
      </c>
      <c r="J526" s="4">
        <v>0</v>
      </c>
      <c r="K526" t="s">
        <v>48</v>
      </c>
      <c r="L526" s="4">
        <f t="shared" si="24"/>
        <v>11000</v>
      </c>
      <c r="M526" t="str">
        <f t="shared" si="25"/>
        <v>Within Budget</v>
      </c>
      <c r="N526">
        <f t="shared" ca="1" si="26"/>
        <v>446</v>
      </c>
    </row>
    <row r="527" spans="1:14" x14ac:dyDescent="0.25">
      <c r="A527" t="s">
        <v>42</v>
      </c>
      <c r="B527" t="s">
        <v>64</v>
      </c>
      <c r="C527" t="s">
        <v>112</v>
      </c>
      <c r="D527" t="s">
        <v>32</v>
      </c>
      <c r="E527" s="2">
        <v>45590</v>
      </c>
      <c r="F527" s="2">
        <v>45613</v>
      </c>
      <c r="G527" s="2">
        <v>45618</v>
      </c>
      <c r="H527" s="3">
        <v>1</v>
      </c>
      <c r="I527" s="4">
        <v>28000</v>
      </c>
      <c r="J527" s="4">
        <v>26900</v>
      </c>
      <c r="K527" t="s">
        <v>15</v>
      </c>
      <c r="L527" s="4">
        <f t="shared" si="24"/>
        <v>1100</v>
      </c>
      <c r="M527" t="str">
        <f t="shared" si="25"/>
        <v>Within Budget</v>
      </c>
      <c r="N527">
        <f t="shared" ca="1" si="26"/>
        <v>5</v>
      </c>
    </row>
    <row r="528" spans="1:14" x14ac:dyDescent="0.25">
      <c r="A528" t="s">
        <v>103</v>
      </c>
      <c r="B528" t="s">
        <v>117</v>
      </c>
      <c r="C528" t="s">
        <v>47</v>
      </c>
      <c r="D528" t="s">
        <v>14</v>
      </c>
      <c r="E528" s="2">
        <v>45498</v>
      </c>
      <c r="F528" s="2">
        <v>45509</v>
      </c>
      <c r="G528" s="2">
        <v>45509</v>
      </c>
      <c r="H528" s="3">
        <v>1</v>
      </c>
      <c r="I528" s="4">
        <v>39000</v>
      </c>
      <c r="J528" s="4">
        <v>39900</v>
      </c>
      <c r="K528" t="s">
        <v>15</v>
      </c>
      <c r="L528" s="4">
        <f t="shared" si="24"/>
        <v>-900</v>
      </c>
      <c r="M528" t="str">
        <f t="shared" si="25"/>
        <v>Over Budget</v>
      </c>
      <c r="N528">
        <f t="shared" ca="1" si="26"/>
        <v>0</v>
      </c>
    </row>
    <row r="529" spans="1:14" x14ac:dyDescent="0.25">
      <c r="A529" t="s">
        <v>66</v>
      </c>
      <c r="B529" t="s">
        <v>40</v>
      </c>
      <c r="C529" t="s">
        <v>111</v>
      </c>
      <c r="D529" t="s">
        <v>14</v>
      </c>
      <c r="E529" s="2">
        <v>45614</v>
      </c>
      <c r="F529" s="2">
        <v>45649</v>
      </c>
      <c r="G529" s="2">
        <v>45625</v>
      </c>
      <c r="H529" s="3">
        <v>0.15</v>
      </c>
      <c r="I529" s="4">
        <v>88000</v>
      </c>
      <c r="J529" s="4">
        <v>20800</v>
      </c>
      <c r="K529" t="s">
        <v>27</v>
      </c>
      <c r="L529" s="4">
        <f t="shared" si="24"/>
        <v>67200</v>
      </c>
      <c r="M529" t="str">
        <f t="shared" si="25"/>
        <v>Within Budget</v>
      </c>
      <c r="N529">
        <f t="shared" ca="1" si="26"/>
        <v>-24</v>
      </c>
    </row>
    <row r="530" spans="1:14" x14ac:dyDescent="0.25">
      <c r="A530" t="s">
        <v>42</v>
      </c>
      <c r="B530" t="s">
        <v>85</v>
      </c>
      <c r="C530" t="s">
        <v>31</v>
      </c>
      <c r="D530" t="s">
        <v>32</v>
      </c>
      <c r="E530" s="2">
        <v>45688</v>
      </c>
      <c r="F530" s="2">
        <v>45717</v>
      </c>
      <c r="G530" s="2"/>
      <c r="H530" s="3">
        <v>0.61</v>
      </c>
      <c r="I530" s="4">
        <v>34000</v>
      </c>
      <c r="J530" s="4">
        <v>40200</v>
      </c>
      <c r="K530" t="s">
        <v>19</v>
      </c>
      <c r="L530" s="4">
        <f t="shared" si="24"/>
        <v>-6200</v>
      </c>
      <c r="M530" t="str">
        <f t="shared" si="25"/>
        <v>Over Budget</v>
      </c>
      <c r="N530">
        <f t="shared" ca="1" si="26"/>
        <v>569</v>
      </c>
    </row>
    <row r="531" spans="1:14" x14ac:dyDescent="0.25">
      <c r="A531" t="s">
        <v>121</v>
      </c>
      <c r="B531" t="s">
        <v>63</v>
      </c>
      <c r="C531" t="s">
        <v>61</v>
      </c>
      <c r="D531" t="s">
        <v>36</v>
      </c>
      <c r="E531" s="2">
        <v>45652</v>
      </c>
      <c r="F531" s="2">
        <v>45664</v>
      </c>
      <c r="G531" s="2">
        <v>45692</v>
      </c>
      <c r="H531" s="3">
        <v>1</v>
      </c>
      <c r="I531" s="4">
        <v>12000</v>
      </c>
      <c r="J531" s="4">
        <v>12800</v>
      </c>
      <c r="K531" t="s">
        <v>15</v>
      </c>
      <c r="L531" s="4">
        <f t="shared" si="24"/>
        <v>-800</v>
      </c>
      <c r="M531" t="str">
        <f t="shared" si="25"/>
        <v>Over Budget</v>
      </c>
      <c r="N531">
        <f t="shared" ca="1" si="26"/>
        <v>28</v>
      </c>
    </row>
    <row r="532" spans="1:14" x14ac:dyDescent="0.25">
      <c r="A532" t="s">
        <v>50</v>
      </c>
      <c r="B532" t="s">
        <v>90</v>
      </c>
      <c r="C532" t="s">
        <v>47</v>
      </c>
      <c r="D532" t="s">
        <v>14</v>
      </c>
      <c r="E532" s="2">
        <v>45432</v>
      </c>
      <c r="F532" s="2">
        <v>45452</v>
      </c>
      <c r="G532" s="2">
        <v>45466</v>
      </c>
      <c r="H532" s="3">
        <v>1</v>
      </c>
      <c r="I532" s="4">
        <v>33000</v>
      </c>
      <c r="J532" s="4">
        <v>31500</v>
      </c>
      <c r="K532" t="s">
        <v>15</v>
      </c>
      <c r="L532" s="4">
        <f t="shared" si="24"/>
        <v>1500</v>
      </c>
      <c r="M532" t="str">
        <f t="shared" si="25"/>
        <v>Within Budget</v>
      </c>
      <c r="N532">
        <f t="shared" ca="1" si="26"/>
        <v>14</v>
      </c>
    </row>
    <row r="533" spans="1:14" x14ac:dyDescent="0.25">
      <c r="A533" t="s">
        <v>37</v>
      </c>
      <c r="B533" t="s">
        <v>64</v>
      </c>
      <c r="C533" t="s">
        <v>100</v>
      </c>
      <c r="D533" t="s">
        <v>32</v>
      </c>
      <c r="E533" s="2">
        <v>45584</v>
      </c>
      <c r="F533" s="2">
        <v>45617</v>
      </c>
      <c r="G533" s="2">
        <v>45617</v>
      </c>
      <c r="H533" s="3">
        <v>1</v>
      </c>
      <c r="I533" s="4">
        <v>63000</v>
      </c>
      <c r="J533" s="4">
        <v>69300</v>
      </c>
      <c r="K533" t="s">
        <v>15</v>
      </c>
      <c r="L533" s="4">
        <f t="shared" si="24"/>
        <v>-6300</v>
      </c>
      <c r="M533" t="str">
        <f t="shared" si="25"/>
        <v>Over Budget</v>
      </c>
      <c r="N533">
        <f t="shared" ca="1" si="26"/>
        <v>0</v>
      </c>
    </row>
    <row r="534" spans="1:14" x14ac:dyDescent="0.25">
      <c r="A534" t="s">
        <v>16</v>
      </c>
      <c r="B534" t="s">
        <v>25</v>
      </c>
      <c r="C534" t="s">
        <v>106</v>
      </c>
      <c r="D534" t="s">
        <v>23</v>
      </c>
      <c r="E534" s="2">
        <v>45482</v>
      </c>
      <c r="F534" s="2">
        <v>45491</v>
      </c>
      <c r="G534" s="2">
        <v>45485</v>
      </c>
      <c r="H534" s="3">
        <v>0.2</v>
      </c>
      <c r="I534" s="4">
        <v>7000</v>
      </c>
      <c r="J534" s="4">
        <v>600</v>
      </c>
      <c r="K534" t="s">
        <v>27</v>
      </c>
      <c r="L534" s="4">
        <f t="shared" si="24"/>
        <v>6400</v>
      </c>
      <c r="M534" t="str">
        <f t="shared" si="25"/>
        <v>Within Budget</v>
      </c>
      <c r="N534">
        <f t="shared" ca="1" si="26"/>
        <v>-6</v>
      </c>
    </row>
    <row r="535" spans="1:14" x14ac:dyDescent="0.25">
      <c r="A535" t="s">
        <v>37</v>
      </c>
      <c r="B535" t="s">
        <v>64</v>
      </c>
      <c r="C535" t="s">
        <v>41</v>
      </c>
      <c r="D535" t="s">
        <v>14</v>
      </c>
      <c r="E535" s="2">
        <v>45713</v>
      </c>
      <c r="F535" s="2">
        <v>45738</v>
      </c>
      <c r="G535" s="2"/>
      <c r="H535" s="3">
        <v>0.42</v>
      </c>
      <c r="I535" s="4">
        <v>40000</v>
      </c>
      <c r="J535" s="4">
        <v>10600</v>
      </c>
      <c r="K535" t="s">
        <v>94</v>
      </c>
      <c r="L535" s="4">
        <f t="shared" si="24"/>
        <v>29400</v>
      </c>
      <c r="M535" t="str">
        <f t="shared" si="25"/>
        <v>Within Budget</v>
      </c>
      <c r="N535">
        <f t="shared" ca="1" si="26"/>
        <v>548</v>
      </c>
    </row>
    <row r="536" spans="1:14" x14ac:dyDescent="0.25">
      <c r="A536" t="s">
        <v>72</v>
      </c>
      <c r="B536" t="s">
        <v>49</v>
      </c>
      <c r="C536" t="s">
        <v>26</v>
      </c>
      <c r="D536" t="s">
        <v>36</v>
      </c>
      <c r="E536" s="2">
        <v>45396</v>
      </c>
      <c r="F536" s="2">
        <v>45409</v>
      </c>
      <c r="G536" s="2">
        <v>45431</v>
      </c>
      <c r="H536" s="3">
        <v>1</v>
      </c>
      <c r="I536" s="4">
        <v>15000</v>
      </c>
      <c r="J536" s="4">
        <v>20900</v>
      </c>
      <c r="K536" t="s">
        <v>15</v>
      </c>
      <c r="L536" s="4">
        <f t="shared" si="24"/>
        <v>-5900</v>
      </c>
      <c r="M536" t="str">
        <f t="shared" si="25"/>
        <v>Over Budget</v>
      </c>
      <c r="N536">
        <f t="shared" ca="1" si="26"/>
        <v>22</v>
      </c>
    </row>
    <row r="537" spans="1:14" x14ac:dyDescent="0.25">
      <c r="A537" t="s">
        <v>55</v>
      </c>
      <c r="B537" t="s">
        <v>69</v>
      </c>
      <c r="C537" t="s">
        <v>44</v>
      </c>
      <c r="D537" t="s">
        <v>36</v>
      </c>
      <c r="E537" s="2">
        <v>45385</v>
      </c>
      <c r="F537" s="2">
        <v>45402</v>
      </c>
      <c r="G537" s="2">
        <v>45410</v>
      </c>
      <c r="H537" s="3">
        <v>1</v>
      </c>
      <c r="I537" s="4">
        <v>21000</v>
      </c>
      <c r="J537" s="4">
        <v>19200</v>
      </c>
      <c r="K537" t="s">
        <v>15</v>
      </c>
      <c r="L537" s="4">
        <f t="shared" si="24"/>
        <v>1800</v>
      </c>
      <c r="M537" t="str">
        <f t="shared" si="25"/>
        <v>Within Budget</v>
      </c>
      <c r="N537">
        <f t="shared" ca="1" si="26"/>
        <v>8</v>
      </c>
    </row>
    <row r="538" spans="1:14" x14ac:dyDescent="0.25">
      <c r="A538" t="s">
        <v>29</v>
      </c>
      <c r="B538" t="s">
        <v>85</v>
      </c>
      <c r="C538" t="s">
        <v>47</v>
      </c>
      <c r="D538" t="s">
        <v>23</v>
      </c>
      <c r="E538" s="2">
        <v>45405</v>
      </c>
      <c r="F538" s="2">
        <v>45435</v>
      </c>
      <c r="G538" s="2">
        <v>45456</v>
      </c>
      <c r="H538" s="3">
        <v>1</v>
      </c>
      <c r="I538" s="4">
        <v>17000</v>
      </c>
      <c r="J538" s="4">
        <v>19800</v>
      </c>
      <c r="K538" t="s">
        <v>15</v>
      </c>
      <c r="L538" s="4">
        <f t="shared" si="24"/>
        <v>-2800</v>
      </c>
      <c r="M538" t="str">
        <f t="shared" si="25"/>
        <v>Over Budget</v>
      </c>
      <c r="N538">
        <f t="shared" ca="1" si="26"/>
        <v>21</v>
      </c>
    </row>
    <row r="539" spans="1:14" x14ac:dyDescent="0.25">
      <c r="A539" t="s">
        <v>53</v>
      </c>
      <c r="B539" t="s">
        <v>119</v>
      </c>
      <c r="C539" t="s">
        <v>97</v>
      </c>
      <c r="D539" t="s">
        <v>32</v>
      </c>
      <c r="E539" s="2">
        <v>45484</v>
      </c>
      <c r="F539" s="2">
        <v>45497</v>
      </c>
      <c r="G539" s="2">
        <v>45516</v>
      </c>
      <c r="H539" s="3">
        <v>1</v>
      </c>
      <c r="I539" s="4">
        <v>37000</v>
      </c>
      <c r="J539" s="4">
        <v>50500</v>
      </c>
      <c r="K539" t="s">
        <v>15</v>
      </c>
      <c r="L539" s="4">
        <f t="shared" si="24"/>
        <v>-13500</v>
      </c>
      <c r="M539" t="str">
        <f t="shared" si="25"/>
        <v>Over Budget</v>
      </c>
      <c r="N539">
        <f t="shared" ca="1" si="26"/>
        <v>19</v>
      </c>
    </row>
    <row r="540" spans="1:14" x14ac:dyDescent="0.25">
      <c r="A540" t="s">
        <v>42</v>
      </c>
      <c r="B540" t="s">
        <v>63</v>
      </c>
      <c r="C540" t="s">
        <v>111</v>
      </c>
      <c r="D540" t="s">
        <v>14</v>
      </c>
      <c r="E540" s="2">
        <v>45305</v>
      </c>
      <c r="F540" s="2">
        <v>45318</v>
      </c>
      <c r="G540" s="2">
        <v>45331</v>
      </c>
      <c r="H540" s="3">
        <v>1</v>
      </c>
      <c r="I540" s="4">
        <v>26000</v>
      </c>
      <c r="J540" s="4">
        <v>28200</v>
      </c>
      <c r="K540" t="s">
        <v>15</v>
      </c>
      <c r="L540" s="4">
        <f t="shared" si="24"/>
        <v>-2200</v>
      </c>
      <c r="M540" t="str">
        <f t="shared" si="25"/>
        <v>Over Budget</v>
      </c>
      <c r="N540">
        <f t="shared" ca="1" si="26"/>
        <v>13</v>
      </c>
    </row>
    <row r="541" spans="1:14" x14ac:dyDescent="0.25">
      <c r="A541" t="s">
        <v>91</v>
      </c>
      <c r="B541" t="s">
        <v>80</v>
      </c>
      <c r="C541" t="s">
        <v>105</v>
      </c>
      <c r="D541" t="s">
        <v>36</v>
      </c>
      <c r="E541" s="2">
        <v>45582</v>
      </c>
      <c r="F541" s="2">
        <v>45588</v>
      </c>
      <c r="G541" s="2">
        <v>45605</v>
      </c>
      <c r="H541" s="3">
        <v>1</v>
      </c>
      <c r="I541" s="4">
        <v>8000</v>
      </c>
      <c r="J541" s="4">
        <v>9300</v>
      </c>
      <c r="K541" t="s">
        <v>15</v>
      </c>
      <c r="L541" s="4">
        <f t="shared" si="24"/>
        <v>-1300</v>
      </c>
      <c r="M541" t="str">
        <f t="shared" si="25"/>
        <v>Over Budget</v>
      </c>
      <c r="N541">
        <f t="shared" ca="1" si="26"/>
        <v>17</v>
      </c>
    </row>
    <row r="542" spans="1:14" x14ac:dyDescent="0.25">
      <c r="A542" t="s">
        <v>118</v>
      </c>
      <c r="B542" t="s">
        <v>30</v>
      </c>
      <c r="C542" t="s">
        <v>97</v>
      </c>
      <c r="D542" t="s">
        <v>23</v>
      </c>
      <c r="E542" s="2">
        <v>45753</v>
      </c>
      <c r="F542" s="2">
        <v>45778</v>
      </c>
      <c r="G542" s="2"/>
      <c r="H542" s="3">
        <v>0</v>
      </c>
      <c r="I542" s="4">
        <v>41000</v>
      </c>
      <c r="J542" s="4">
        <v>0</v>
      </c>
      <c r="K542" t="s">
        <v>48</v>
      </c>
      <c r="L542" s="4">
        <f t="shared" si="24"/>
        <v>41000</v>
      </c>
      <c r="M542" t="str">
        <f t="shared" si="25"/>
        <v>Within Budget</v>
      </c>
      <c r="N542">
        <f t="shared" ca="1" si="26"/>
        <v>508</v>
      </c>
    </row>
    <row r="543" spans="1:14" x14ac:dyDescent="0.25">
      <c r="A543" t="s">
        <v>24</v>
      </c>
      <c r="B543" t="s">
        <v>125</v>
      </c>
      <c r="C543" t="s">
        <v>67</v>
      </c>
      <c r="D543" t="s">
        <v>23</v>
      </c>
      <c r="E543" s="2">
        <v>45673</v>
      </c>
      <c r="F543" s="2">
        <v>45687</v>
      </c>
      <c r="G543" s="2"/>
      <c r="H543" s="3">
        <v>0.76</v>
      </c>
      <c r="I543" s="4">
        <v>46000</v>
      </c>
      <c r="J543" s="4">
        <v>41100</v>
      </c>
      <c r="K543" t="s">
        <v>65</v>
      </c>
      <c r="L543" s="4">
        <f t="shared" si="24"/>
        <v>4900</v>
      </c>
      <c r="M543" t="str">
        <f t="shared" si="25"/>
        <v>Within Budget</v>
      </c>
      <c r="N543">
        <f t="shared" ca="1" si="26"/>
        <v>599</v>
      </c>
    </row>
    <row r="544" spans="1:14" x14ac:dyDescent="0.25">
      <c r="A544" t="s">
        <v>29</v>
      </c>
      <c r="B544" t="s">
        <v>76</v>
      </c>
      <c r="C544" t="s">
        <v>18</v>
      </c>
      <c r="D544" t="s">
        <v>14</v>
      </c>
      <c r="E544" s="2">
        <v>45800</v>
      </c>
      <c r="F544" s="2">
        <v>45834</v>
      </c>
      <c r="G544" s="2"/>
      <c r="H544" s="3">
        <v>0</v>
      </c>
      <c r="I544" s="4">
        <v>87000</v>
      </c>
      <c r="J544" s="4">
        <v>0</v>
      </c>
      <c r="K544" t="s">
        <v>48</v>
      </c>
      <c r="L544" s="4">
        <f t="shared" si="24"/>
        <v>87000</v>
      </c>
      <c r="M544" t="str">
        <f t="shared" si="25"/>
        <v>Within Budget</v>
      </c>
      <c r="N544">
        <f t="shared" ca="1" si="26"/>
        <v>452</v>
      </c>
    </row>
    <row r="545" spans="1:14" x14ac:dyDescent="0.25">
      <c r="A545" t="s">
        <v>29</v>
      </c>
      <c r="B545" t="s">
        <v>82</v>
      </c>
      <c r="C545" t="s">
        <v>113</v>
      </c>
      <c r="D545" t="s">
        <v>32</v>
      </c>
      <c r="E545" s="2">
        <v>45319</v>
      </c>
      <c r="F545" s="2">
        <v>45337</v>
      </c>
      <c r="G545" s="2">
        <v>45321</v>
      </c>
      <c r="H545" s="3">
        <v>0.1</v>
      </c>
      <c r="I545" s="4">
        <v>40000</v>
      </c>
      <c r="J545" s="4">
        <v>3000</v>
      </c>
      <c r="K545" t="s">
        <v>27</v>
      </c>
      <c r="L545" s="4">
        <f t="shared" si="24"/>
        <v>37000</v>
      </c>
      <c r="M545" t="str">
        <f t="shared" si="25"/>
        <v>Within Budget</v>
      </c>
      <c r="N545">
        <f t="shared" ca="1" si="26"/>
        <v>-16</v>
      </c>
    </row>
    <row r="546" spans="1:14" x14ac:dyDescent="0.25">
      <c r="A546" t="s">
        <v>72</v>
      </c>
      <c r="B546" t="s">
        <v>58</v>
      </c>
      <c r="C546" t="s">
        <v>71</v>
      </c>
      <c r="D546" t="s">
        <v>36</v>
      </c>
      <c r="E546" s="2">
        <v>45690</v>
      </c>
      <c r="F546" s="2">
        <v>45708</v>
      </c>
      <c r="G546" s="2"/>
      <c r="H546" s="3">
        <v>0.28000000000000003</v>
      </c>
      <c r="I546" s="4">
        <v>46000</v>
      </c>
      <c r="J546" s="4">
        <v>39800</v>
      </c>
      <c r="K546" t="s">
        <v>19</v>
      </c>
      <c r="L546" s="4">
        <f t="shared" si="24"/>
        <v>6200</v>
      </c>
      <c r="M546" t="str">
        <f t="shared" si="25"/>
        <v>Within Budget</v>
      </c>
      <c r="N546">
        <f t="shared" ca="1" si="26"/>
        <v>578</v>
      </c>
    </row>
    <row r="547" spans="1:14" x14ac:dyDescent="0.25">
      <c r="A547" t="s">
        <v>121</v>
      </c>
      <c r="B547" t="s">
        <v>84</v>
      </c>
      <c r="C547" t="s">
        <v>52</v>
      </c>
      <c r="D547" t="s">
        <v>23</v>
      </c>
      <c r="E547" s="2">
        <v>45830</v>
      </c>
      <c r="F547" s="2">
        <v>45865</v>
      </c>
      <c r="G547" s="2"/>
      <c r="H547" s="3">
        <v>0</v>
      </c>
      <c r="I547" s="4">
        <v>96000</v>
      </c>
      <c r="J547" s="4">
        <v>0</v>
      </c>
      <c r="K547" t="s">
        <v>48</v>
      </c>
      <c r="L547" s="4">
        <f t="shared" si="24"/>
        <v>96000</v>
      </c>
      <c r="M547" t="str">
        <f t="shared" si="25"/>
        <v>Within Budget</v>
      </c>
      <c r="N547">
        <f t="shared" ca="1" si="26"/>
        <v>421</v>
      </c>
    </row>
    <row r="548" spans="1:14" x14ac:dyDescent="0.25">
      <c r="A548" t="s">
        <v>55</v>
      </c>
      <c r="B548" t="s">
        <v>117</v>
      </c>
      <c r="C548" t="s">
        <v>39</v>
      </c>
      <c r="D548" t="s">
        <v>23</v>
      </c>
      <c r="E548" s="2">
        <v>45528</v>
      </c>
      <c r="F548" s="2">
        <v>45549</v>
      </c>
      <c r="G548" s="2">
        <v>45549</v>
      </c>
      <c r="H548" s="3">
        <v>1</v>
      </c>
      <c r="I548" s="4">
        <v>40000</v>
      </c>
      <c r="J548" s="4">
        <v>52400</v>
      </c>
      <c r="K548" t="s">
        <v>15</v>
      </c>
      <c r="L548" s="4">
        <f t="shared" si="24"/>
        <v>-12400</v>
      </c>
      <c r="M548" t="str">
        <f t="shared" si="25"/>
        <v>Over Budget</v>
      </c>
      <c r="N548">
        <f t="shared" ca="1" si="26"/>
        <v>0</v>
      </c>
    </row>
    <row r="549" spans="1:14" x14ac:dyDescent="0.25">
      <c r="A549" t="s">
        <v>53</v>
      </c>
      <c r="B549" t="s">
        <v>75</v>
      </c>
      <c r="C549" t="s">
        <v>31</v>
      </c>
      <c r="D549" t="s">
        <v>36</v>
      </c>
      <c r="E549" s="2">
        <v>45828</v>
      </c>
      <c r="F549" s="2">
        <v>45863</v>
      </c>
      <c r="G549" s="2"/>
      <c r="H549" s="3">
        <v>0</v>
      </c>
      <c r="I549" s="4">
        <v>67000</v>
      </c>
      <c r="J549" s="4">
        <v>0</v>
      </c>
      <c r="K549" t="s">
        <v>48</v>
      </c>
      <c r="L549" s="4">
        <f t="shared" si="24"/>
        <v>67000</v>
      </c>
      <c r="M549" t="str">
        <f t="shared" si="25"/>
        <v>Within Budget</v>
      </c>
      <c r="N549">
        <f t="shared" ca="1" si="26"/>
        <v>423</v>
      </c>
    </row>
    <row r="550" spans="1:14" x14ac:dyDescent="0.25">
      <c r="A550" t="s">
        <v>91</v>
      </c>
      <c r="B550" t="s">
        <v>101</v>
      </c>
      <c r="C550" t="s">
        <v>44</v>
      </c>
      <c r="D550" t="s">
        <v>14</v>
      </c>
      <c r="E550" s="2">
        <v>45583</v>
      </c>
      <c r="F550" s="2">
        <v>45594</v>
      </c>
      <c r="G550" s="2"/>
      <c r="H550" s="3">
        <v>0.56999999999999995</v>
      </c>
      <c r="I550" s="4">
        <v>17000</v>
      </c>
      <c r="J550" s="4">
        <v>11300</v>
      </c>
      <c r="K550" t="s">
        <v>19</v>
      </c>
      <c r="L550" s="4">
        <f t="shared" si="24"/>
        <v>5700</v>
      </c>
      <c r="M550" t="str">
        <f t="shared" si="25"/>
        <v>Within Budget</v>
      </c>
      <c r="N550">
        <f t="shared" ca="1" si="26"/>
        <v>692</v>
      </c>
    </row>
    <row r="551" spans="1:14" x14ac:dyDescent="0.25">
      <c r="A551" t="s">
        <v>33</v>
      </c>
      <c r="B551" t="s">
        <v>74</v>
      </c>
      <c r="C551" t="s">
        <v>61</v>
      </c>
      <c r="D551" t="s">
        <v>14</v>
      </c>
      <c r="E551" s="2">
        <v>45479</v>
      </c>
      <c r="F551" s="2">
        <v>45510</v>
      </c>
      <c r="G551" s="2">
        <v>45538</v>
      </c>
      <c r="H551" s="3">
        <v>1</v>
      </c>
      <c r="I551" s="4">
        <v>47000</v>
      </c>
      <c r="J551" s="4">
        <v>54700</v>
      </c>
      <c r="K551" t="s">
        <v>15</v>
      </c>
      <c r="L551" s="4">
        <f t="shared" si="24"/>
        <v>-7700</v>
      </c>
      <c r="M551" t="str">
        <f t="shared" si="25"/>
        <v>Over Budget</v>
      </c>
      <c r="N551">
        <f t="shared" ca="1" si="26"/>
        <v>28</v>
      </c>
    </row>
    <row r="552" spans="1:14" x14ac:dyDescent="0.25">
      <c r="A552" t="s">
        <v>50</v>
      </c>
      <c r="B552" t="s">
        <v>74</v>
      </c>
      <c r="C552" t="s">
        <v>54</v>
      </c>
      <c r="D552" t="s">
        <v>23</v>
      </c>
      <c r="E552" s="2">
        <v>45416</v>
      </c>
      <c r="F552" s="2">
        <v>45434</v>
      </c>
      <c r="G552" s="2">
        <v>45478</v>
      </c>
      <c r="H552" s="3">
        <v>1</v>
      </c>
      <c r="I552" s="4">
        <v>22000</v>
      </c>
      <c r="J552" s="4">
        <v>20800</v>
      </c>
      <c r="K552" t="s">
        <v>15</v>
      </c>
      <c r="L552" s="4">
        <f t="shared" si="24"/>
        <v>1200</v>
      </c>
      <c r="M552" t="str">
        <f t="shared" si="25"/>
        <v>Within Budget</v>
      </c>
      <c r="N552">
        <f t="shared" ca="1" si="26"/>
        <v>44</v>
      </c>
    </row>
    <row r="553" spans="1:14" x14ac:dyDescent="0.25">
      <c r="A553" t="s">
        <v>45</v>
      </c>
      <c r="B553" t="s">
        <v>70</v>
      </c>
      <c r="C553" t="s">
        <v>22</v>
      </c>
      <c r="D553" t="s">
        <v>36</v>
      </c>
      <c r="E553" s="2">
        <v>45319</v>
      </c>
      <c r="F553" s="2">
        <v>45327</v>
      </c>
      <c r="G553" s="2">
        <v>45327</v>
      </c>
      <c r="H553" s="3">
        <v>1</v>
      </c>
      <c r="I553" s="4">
        <v>7000</v>
      </c>
      <c r="J553" s="4">
        <v>8700</v>
      </c>
      <c r="K553" t="s">
        <v>15</v>
      </c>
      <c r="L553" s="4">
        <f t="shared" si="24"/>
        <v>-1700</v>
      </c>
      <c r="M553" t="str">
        <f t="shared" si="25"/>
        <v>Over Budget</v>
      </c>
      <c r="N553">
        <f t="shared" ca="1" si="26"/>
        <v>0</v>
      </c>
    </row>
    <row r="554" spans="1:14" x14ac:dyDescent="0.25">
      <c r="A554" t="s">
        <v>53</v>
      </c>
      <c r="B554" t="s">
        <v>58</v>
      </c>
      <c r="C554" t="s">
        <v>100</v>
      </c>
      <c r="D554" t="s">
        <v>36</v>
      </c>
      <c r="E554" s="2">
        <v>45473</v>
      </c>
      <c r="F554" s="2">
        <v>45484</v>
      </c>
      <c r="G554" s="2"/>
      <c r="H554" s="3">
        <v>0.85</v>
      </c>
      <c r="I554" s="4">
        <v>47000</v>
      </c>
      <c r="J554" s="4">
        <v>50200</v>
      </c>
      <c r="K554" t="s">
        <v>19</v>
      </c>
      <c r="L554" s="4">
        <f t="shared" si="24"/>
        <v>-3200</v>
      </c>
      <c r="M554" t="str">
        <f t="shared" si="25"/>
        <v>Over Budget</v>
      </c>
      <c r="N554">
        <f t="shared" ca="1" si="26"/>
        <v>802</v>
      </c>
    </row>
    <row r="555" spans="1:14" x14ac:dyDescent="0.25">
      <c r="A555" t="s">
        <v>53</v>
      </c>
      <c r="B555" t="s">
        <v>75</v>
      </c>
      <c r="C555" t="s">
        <v>44</v>
      </c>
      <c r="D555" t="s">
        <v>36</v>
      </c>
      <c r="E555" s="2">
        <v>45449</v>
      </c>
      <c r="F555" s="2">
        <v>45483</v>
      </c>
      <c r="G555" s="2">
        <v>45465</v>
      </c>
      <c r="H555" s="3">
        <v>0.2</v>
      </c>
      <c r="I555" s="4">
        <v>78000</v>
      </c>
      <c r="J555" s="4">
        <v>30500</v>
      </c>
      <c r="K555" t="s">
        <v>27</v>
      </c>
      <c r="L555" s="4">
        <f t="shared" si="24"/>
        <v>47500</v>
      </c>
      <c r="M555" t="str">
        <f t="shared" si="25"/>
        <v>Within Budget</v>
      </c>
      <c r="N555">
        <f t="shared" ca="1" si="26"/>
        <v>-18</v>
      </c>
    </row>
    <row r="556" spans="1:14" x14ac:dyDescent="0.25">
      <c r="A556" t="s">
        <v>33</v>
      </c>
      <c r="B556" t="s">
        <v>125</v>
      </c>
      <c r="C556" t="s">
        <v>28</v>
      </c>
      <c r="D556" t="s">
        <v>36</v>
      </c>
      <c r="E556" s="2">
        <v>45658</v>
      </c>
      <c r="F556" s="2">
        <v>45667</v>
      </c>
      <c r="G556" s="2"/>
      <c r="H556" s="3">
        <v>0.7</v>
      </c>
      <c r="I556" s="4">
        <v>12000</v>
      </c>
      <c r="J556" s="4">
        <v>9800</v>
      </c>
      <c r="K556" t="s">
        <v>19</v>
      </c>
      <c r="L556" s="4">
        <f t="shared" si="24"/>
        <v>2200</v>
      </c>
      <c r="M556" t="str">
        <f t="shared" si="25"/>
        <v>Within Budget</v>
      </c>
      <c r="N556">
        <f t="shared" ca="1" si="26"/>
        <v>619</v>
      </c>
    </row>
    <row r="557" spans="1:14" x14ac:dyDescent="0.25">
      <c r="A557" t="s">
        <v>104</v>
      </c>
      <c r="B557" t="s">
        <v>95</v>
      </c>
      <c r="C557" t="s">
        <v>26</v>
      </c>
      <c r="D557" t="s">
        <v>36</v>
      </c>
      <c r="E557" s="2">
        <v>45329</v>
      </c>
      <c r="F557" s="2">
        <v>45354</v>
      </c>
      <c r="G557" s="2">
        <v>45357</v>
      </c>
      <c r="H557" s="3">
        <v>1</v>
      </c>
      <c r="I557" s="4">
        <v>35000</v>
      </c>
      <c r="J557" s="4">
        <v>38500</v>
      </c>
      <c r="K557" t="s">
        <v>15</v>
      </c>
      <c r="L557" s="4">
        <f t="shared" si="24"/>
        <v>-3500</v>
      </c>
      <c r="M557" t="str">
        <f t="shared" si="25"/>
        <v>Over Budget</v>
      </c>
      <c r="N557">
        <f t="shared" ca="1" si="26"/>
        <v>3</v>
      </c>
    </row>
    <row r="558" spans="1:14" x14ac:dyDescent="0.25">
      <c r="A558" t="s">
        <v>120</v>
      </c>
      <c r="B558" t="s">
        <v>51</v>
      </c>
      <c r="C558" t="s">
        <v>97</v>
      </c>
      <c r="D558" t="s">
        <v>14</v>
      </c>
      <c r="E558" s="2">
        <v>45717</v>
      </c>
      <c r="F558" s="2">
        <v>45742</v>
      </c>
      <c r="G558" s="2"/>
      <c r="H558" s="3">
        <v>0.33</v>
      </c>
      <c r="I558" s="4">
        <v>39000</v>
      </c>
      <c r="J558" s="4">
        <v>10800</v>
      </c>
      <c r="K558" t="s">
        <v>94</v>
      </c>
      <c r="L558" s="4">
        <f t="shared" si="24"/>
        <v>28200</v>
      </c>
      <c r="M558" t="str">
        <f t="shared" si="25"/>
        <v>Within Budget</v>
      </c>
      <c r="N558">
        <f t="shared" ca="1" si="26"/>
        <v>544</v>
      </c>
    </row>
    <row r="559" spans="1:14" x14ac:dyDescent="0.25">
      <c r="A559" t="s">
        <v>121</v>
      </c>
      <c r="B559" t="s">
        <v>84</v>
      </c>
      <c r="C559" t="s">
        <v>26</v>
      </c>
      <c r="D559" t="s">
        <v>14</v>
      </c>
      <c r="E559" s="2">
        <v>45514</v>
      </c>
      <c r="F559" s="2">
        <v>45526</v>
      </c>
      <c r="G559" s="2">
        <v>45537</v>
      </c>
      <c r="H559" s="3">
        <v>1</v>
      </c>
      <c r="I559" s="4">
        <v>31000</v>
      </c>
      <c r="J559" s="4">
        <v>37300</v>
      </c>
      <c r="K559" t="s">
        <v>15</v>
      </c>
      <c r="L559" s="4">
        <f t="shared" si="24"/>
        <v>-6300</v>
      </c>
      <c r="M559" t="str">
        <f t="shared" si="25"/>
        <v>Over Budget</v>
      </c>
      <c r="N559">
        <f t="shared" ca="1" si="26"/>
        <v>11</v>
      </c>
    </row>
    <row r="560" spans="1:14" x14ac:dyDescent="0.25">
      <c r="A560" t="s">
        <v>45</v>
      </c>
      <c r="B560" t="s">
        <v>17</v>
      </c>
      <c r="C560" t="s">
        <v>44</v>
      </c>
      <c r="D560" t="s">
        <v>14</v>
      </c>
      <c r="E560" s="2">
        <v>45346</v>
      </c>
      <c r="F560" s="2">
        <v>45373</v>
      </c>
      <c r="G560" s="2">
        <v>45374</v>
      </c>
      <c r="H560" s="3">
        <v>1</v>
      </c>
      <c r="I560" s="4">
        <v>13000</v>
      </c>
      <c r="J560" s="4">
        <v>13100</v>
      </c>
      <c r="K560" t="s">
        <v>15</v>
      </c>
      <c r="L560" s="4">
        <f t="shared" si="24"/>
        <v>-100</v>
      </c>
      <c r="M560" t="str">
        <f t="shared" si="25"/>
        <v>Over Budget</v>
      </c>
      <c r="N560">
        <f t="shared" ca="1" si="26"/>
        <v>1</v>
      </c>
    </row>
    <row r="561" spans="1:14" x14ac:dyDescent="0.25">
      <c r="A561" t="s">
        <v>62</v>
      </c>
      <c r="B561" t="s">
        <v>98</v>
      </c>
      <c r="C561" t="s">
        <v>100</v>
      </c>
      <c r="D561" t="s">
        <v>36</v>
      </c>
      <c r="E561" s="2">
        <v>45506</v>
      </c>
      <c r="F561" s="2">
        <v>45527</v>
      </c>
      <c r="G561" s="2">
        <v>45512</v>
      </c>
      <c r="H561" s="3">
        <v>0.15</v>
      </c>
      <c r="I561" s="4">
        <v>27000</v>
      </c>
      <c r="J561" s="4">
        <v>3700</v>
      </c>
      <c r="K561" t="s">
        <v>27</v>
      </c>
      <c r="L561" s="4">
        <f t="shared" si="24"/>
        <v>23300</v>
      </c>
      <c r="M561" t="str">
        <f t="shared" si="25"/>
        <v>Within Budget</v>
      </c>
      <c r="N561">
        <f t="shared" ca="1" si="26"/>
        <v>-15</v>
      </c>
    </row>
    <row r="562" spans="1:14" x14ac:dyDescent="0.25">
      <c r="A562" t="s">
        <v>37</v>
      </c>
      <c r="B562" t="s">
        <v>12</v>
      </c>
      <c r="C562" t="s">
        <v>44</v>
      </c>
      <c r="D562" t="s">
        <v>32</v>
      </c>
      <c r="E562" s="2">
        <v>45577</v>
      </c>
      <c r="F562" s="2">
        <v>45606</v>
      </c>
      <c r="G562" s="2">
        <v>45620</v>
      </c>
      <c r="H562" s="3">
        <v>1</v>
      </c>
      <c r="I562" s="4">
        <v>44000</v>
      </c>
      <c r="J562" s="4">
        <v>41800</v>
      </c>
      <c r="K562" t="s">
        <v>15</v>
      </c>
      <c r="L562" s="4">
        <f t="shared" si="24"/>
        <v>2200</v>
      </c>
      <c r="M562" t="str">
        <f t="shared" si="25"/>
        <v>Within Budget</v>
      </c>
      <c r="N562">
        <f t="shared" ca="1" si="26"/>
        <v>14</v>
      </c>
    </row>
    <row r="563" spans="1:14" x14ac:dyDescent="0.25">
      <c r="A563" t="s">
        <v>109</v>
      </c>
      <c r="B563" t="s">
        <v>46</v>
      </c>
      <c r="C563" t="s">
        <v>113</v>
      </c>
      <c r="D563" t="s">
        <v>32</v>
      </c>
      <c r="E563" s="2">
        <v>45437</v>
      </c>
      <c r="F563" s="2">
        <v>45452</v>
      </c>
      <c r="G563" s="2">
        <v>45444</v>
      </c>
      <c r="H563" s="3">
        <v>1</v>
      </c>
      <c r="I563" s="4">
        <v>41000</v>
      </c>
      <c r="J563" s="4">
        <v>35600</v>
      </c>
      <c r="K563" t="s">
        <v>15</v>
      </c>
      <c r="L563" s="4">
        <f t="shared" si="24"/>
        <v>5400</v>
      </c>
      <c r="M563" t="str">
        <f t="shared" si="25"/>
        <v>Within Budget</v>
      </c>
      <c r="N563">
        <f t="shared" ca="1" si="26"/>
        <v>-8</v>
      </c>
    </row>
    <row r="564" spans="1:14" x14ac:dyDescent="0.25">
      <c r="A564" t="s">
        <v>120</v>
      </c>
      <c r="B564" t="s">
        <v>85</v>
      </c>
      <c r="C564" t="s">
        <v>112</v>
      </c>
      <c r="D564" t="s">
        <v>23</v>
      </c>
      <c r="E564" s="2">
        <v>45770</v>
      </c>
      <c r="F564" s="2">
        <v>45799</v>
      </c>
      <c r="G564" s="2"/>
      <c r="H564" s="3">
        <v>0</v>
      </c>
      <c r="I564" s="4">
        <v>13000</v>
      </c>
      <c r="J564" s="4">
        <v>0</v>
      </c>
      <c r="K564" t="s">
        <v>48</v>
      </c>
      <c r="L564" s="4">
        <f t="shared" si="24"/>
        <v>13000</v>
      </c>
      <c r="M564" t="str">
        <f t="shared" si="25"/>
        <v>Within Budget</v>
      </c>
      <c r="N564">
        <f t="shared" ca="1" si="26"/>
        <v>487</v>
      </c>
    </row>
    <row r="565" spans="1:14" x14ac:dyDescent="0.25">
      <c r="A565" t="s">
        <v>16</v>
      </c>
      <c r="B565" t="s">
        <v>74</v>
      </c>
      <c r="C565" t="s">
        <v>97</v>
      </c>
      <c r="D565" t="s">
        <v>14</v>
      </c>
      <c r="E565" s="2">
        <v>45674</v>
      </c>
      <c r="F565" s="2">
        <v>45685</v>
      </c>
      <c r="G565" s="2"/>
      <c r="H565" s="3">
        <v>0.4</v>
      </c>
      <c r="I565" s="4">
        <v>33000</v>
      </c>
      <c r="J565" s="4">
        <v>33100</v>
      </c>
      <c r="K565" t="s">
        <v>19</v>
      </c>
      <c r="L565" s="4">
        <f t="shared" si="24"/>
        <v>-100</v>
      </c>
      <c r="M565" t="str">
        <f t="shared" si="25"/>
        <v>Over Budget</v>
      </c>
      <c r="N565">
        <f t="shared" ca="1" si="26"/>
        <v>601</v>
      </c>
    </row>
    <row r="566" spans="1:14" x14ac:dyDescent="0.25">
      <c r="A566" t="s">
        <v>99</v>
      </c>
      <c r="B566" t="s">
        <v>117</v>
      </c>
      <c r="C566" t="s">
        <v>31</v>
      </c>
      <c r="D566" t="s">
        <v>36</v>
      </c>
      <c r="E566" s="2">
        <v>45661</v>
      </c>
      <c r="F566" s="2">
        <v>45684</v>
      </c>
      <c r="G566" s="2"/>
      <c r="H566" s="3">
        <v>0.85</v>
      </c>
      <c r="I566" s="4">
        <v>15000</v>
      </c>
      <c r="J566" s="4">
        <v>11700</v>
      </c>
      <c r="K566" t="s">
        <v>65</v>
      </c>
      <c r="L566" s="4">
        <f t="shared" si="24"/>
        <v>3300</v>
      </c>
      <c r="M566" t="str">
        <f t="shared" si="25"/>
        <v>Within Budget</v>
      </c>
      <c r="N566">
        <f t="shared" ca="1" si="26"/>
        <v>602</v>
      </c>
    </row>
    <row r="567" spans="1:14" x14ac:dyDescent="0.25">
      <c r="A567" t="s">
        <v>109</v>
      </c>
      <c r="B567" t="s">
        <v>25</v>
      </c>
      <c r="C567" t="s">
        <v>112</v>
      </c>
      <c r="D567" t="s">
        <v>23</v>
      </c>
      <c r="E567" s="2">
        <v>45745</v>
      </c>
      <c r="F567" s="2">
        <v>45755</v>
      </c>
      <c r="G567" s="2"/>
      <c r="H567" s="3">
        <v>0.34</v>
      </c>
      <c r="I567" s="4">
        <v>8000</v>
      </c>
      <c r="J567" s="4">
        <v>3300</v>
      </c>
      <c r="K567" t="s">
        <v>65</v>
      </c>
      <c r="L567" s="4">
        <f t="shared" si="24"/>
        <v>4700</v>
      </c>
      <c r="M567" t="str">
        <f t="shared" si="25"/>
        <v>Within Budget</v>
      </c>
      <c r="N567">
        <f t="shared" ca="1" si="26"/>
        <v>531</v>
      </c>
    </row>
    <row r="568" spans="1:14" x14ac:dyDescent="0.25">
      <c r="A568" t="s">
        <v>103</v>
      </c>
      <c r="B568" t="s">
        <v>115</v>
      </c>
      <c r="C568" t="s">
        <v>41</v>
      </c>
      <c r="D568" t="s">
        <v>23</v>
      </c>
      <c r="E568" s="2">
        <v>45731</v>
      </c>
      <c r="F568" s="2">
        <v>45765</v>
      </c>
      <c r="G568" s="2"/>
      <c r="H568" s="3">
        <v>0.17</v>
      </c>
      <c r="I568" s="4">
        <v>96000</v>
      </c>
      <c r="J568" s="4">
        <v>15400</v>
      </c>
      <c r="K568" t="s">
        <v>65</v>
      </c>
      <c r="L568" s="4">
        <f t="shared" si="24"/>
        <v>80600</v>
      </c>
      <c r="M568" t="str">
        <f t="shared" si="25"/>
        <v>Within Budget</v>
      </c>
      <c r="N568">
        <f t="shared" ca="1" si="26"/>
        <v>521</v>
      </c>
    </row>
    <row r="569" spans="1:14" x14ac:dyDescent="0.25">
      <c r="A569" t="s">
        <v>103</v>
      </c>
      <c r="B569" t="s">
        <v>93</v>
      </c>
      <c r="C569" t="s">
        <v>44</v>
      </c>
      <c r="D569" t="s">
        <v>14</v>
      </c>
      <c r="E569" s="2">
        <v>45588</v>
      </c>
      <c r="F569" s="2">
        <v>45612</v>
      </c>
      <c r="G569" s="2">
        <v>45606</v>
      </c>
      <c r="H569" s="3">
        <v>1</v>
      </c>
      <c r="I569" s="4">
        <v>33000</v>
      </c>
      <c r="J569" s="4">
        <v>39700</v>
      </c>
      <c r="K569" t="s">
        <v>15</v>
      </c>
      <c r="L569" s="4">
        <f t="shared" si="24"/>
        <v>-6700</v>
      </c>
      <c r="M569" t="str">
        <f t="shared" si="25"/>
        <v>Over Budget</v>
      </c>
      <c r="N569">
        <f t="shared" ca="1" si="26"/>
        <v>-6</v>
      </c>
    </row>
    <row r="570" spans="1:14" x14ac:dyDescent="0.25">
      <c r="A570" t="s">
        <v>62</v>
      </c>
      <c r="B570" t="s">
        <v>101</v>
      </c>
      <c r="C570" t="s">
        <v>52</v>
      </c>
      <c r="D570" t="s">
        <v>23</v>
      </c>
      <c r="E570" s="2">
        <v>45738</v>
      </c>
      <c r="F570" s="2">
        <v>45746</v>
      </c>
      <c r="G570" s="2"/>
      <c r="H570" s="3">
        <v>0</v>
      </c>
      <c r="I570" s="4">
        <v>14000</v>
      </c>
      <c r="J570" s="4">
        <v>0</v>
      </c>
      <c r="K570" t="s">
        <v>48</v>
      </c>
      <c r="L570" s="4">
        <f t="shared" si="24"/>
        <v>14000</v>
      </c>
      <c r="M570" t="str">
        <f t="shared" si="25"/>
        <v>Within Budget</v>
      </c>
      <c r="N570">
        <f t="shared" ca="1" si="26"/>
        <v>540</v>
      </c>
    </row>
    <row r="571" spans="1:14" x14ac:dyDescent="0.25">
      <c r="A571" t="s">
        <v>66</v>
      </c>
      <c r="B571" t="s">
        <v>80</v>
      </c>
      <c r="C571" t="s">
        <v>111</v>
      </c>
      <c r="D571" t="s">
        <v>14</v>
      </c>
      <c r="E571" s="2">
        <v>45790</v>
      </c>
      <c r="F571" s="2">
        <v>45798</v>
      </c>
      <c r="G571" s="2"/>
      <c r="H571" s="3">
        <v>0</v>
      </c>
      <c r="I571" s="4">
        <v>9000</v>
      </c>
      <c r="J571" s="4">
        <v>0</v>
      </c>
      <c r="K571" t="s">
        <v>48</v>
      </c>
      <c r="L571" s="4">
        <f t="shared" si="24"/>
        <v>9000</v>
      </c>
      <c r="M571" t="str">
        <f t="shared" si="25"/>
        <v>Within Budget</v>
      </c>
      <c r="N571">
        <f t="shared" ca="1" si="26"/>
        <v>488</v>
      </c>
    </row>
    <row r="572" spans="1:14" x14ac:dyDescent="0.25">
      <c r="A572" t="s">
        <v>103</v>
      </c>
      <c r="B572" t="s">
        <v>12</v>
      </c>
      <c r="C572" t="s">
        <v>39</v>
      </c>
      <c r="D572" t="s">
        <v>36</v>
      </c>
      <c r="E572" s="2">
        <v>45631</v>
      </c>
      <c r="F572" s="2">
        <v>45663</v>
      </c>
      <c r="G572" s="2">
        <v>45698</v>
      </c>
      <c r="H572" s="3">
        <v>1</v>
      </c>
      <c r="I572" s="4">
        <v>30000</v>
      </c>
      <c r="J572" s="4">
        <v>36900</v>
      </c>
      <c r="K572" t="s">
        <v>15</v>
      </c>
      <c r="L572" s="4">
        <f t="shared" si="24"/>
        <v>-6900</v>
      </c>
      <c r="M572" t="str">
        <f t="shared" si="25"/>
        <v>Over Budget</v>
      </c>
      <c r="N572">
        <f t="shared" ca="1" si="26"/>
        <v>35</v>
      </c>
    </row>
    <row r="573" spans="1:14" x14ac:dyDescent="0.25">
      <c r="A573" t="s">
        <v>24</v>
      </c>
      <c r="B573" t="s">
        <v>58</v>
      </c>
      <c r="C573" t="s">
        <v>44</v>
      </c>
      <c r="D573" t="s">
        <v>36</v>
      </c>
      <c r="E573" s="2">
        <v>45713</v>
      </c>
      <c r="F573" s="2">
        <v>45728</v>
      </c>
      <c r="G573" s="2"/>
      <c r="H573" s="3">
        <v>0.25</v>
      </c>
      <c r="I573" s="4">
        <v>13000</v>
      </c>
      <c r="J573" s="4">
        <v>1500</v>
      </c>
      <c r="K573" t="s">
        <v>94</v>
      </c>
      <c r="L573" s="4">
        <f t="shared" si="24"/>
        <v>11500</v>
      </c>
      <c r="M573" t="str">
        <f t="shared" si="25"/>
        <v>Within Budget</v>
      </c>
      <c r="N573">
        <f t="shared" ca="1" si="26"/>
        <v>558</v>
      </c>
    </row>
    <row r="574" spans="1:14" x14ac:dyDescent="0.25">
      <c r="A574" t="s">
        <v>37</v>
      </c>
      <c r="B574" t="s">
        <v>46</v>
      </c>
      <c r="C574" t="s">
        <v>97</v>
      </c>
      <c r="D574" t="s">
        <v>23</v>
      </c>
      <c r="E574" s="2">
        <v>45480</v>
      </c>
      <c r="F574" s="2">
        <v>45515</v>
      </c>
      <c r="G574" s="2">
        <v>45484</v>
      </c>
      <c r="H574" s="3">
        <v>0.15</v>
      </c>
      <c r="I574" s="4">
        <v>40000</v>
      </c>
      <c r="J574" s="4">
        <v>5100</v>
      </c>
      <c r="K574" t="s">
        <v>27</v>
      </c>
      <c r="L574" s="4">
        <f t="shared" si="24"/>
        <v>34900</v>
      </c>
      <c r="M574" t="str">
        <f t="shared" si="25"/>
        <v>Within Budget</v>
      </c>
      <c r="N574">
        <f t="shared" ca="1" si="26"/>
        <v>-31</v>
      </c>
    </row>
    <row r="575" spans="1:14" x14ac:dyDescent="0.25">
      <c r="A575" t="s">
        <v>120</v>
      </c>
      <c r="B575" t="s">
        <v>98</v>
      </c>
      <c r="C575" t="s">
        <v>71</v>
      </c>
      <c r="D575" t="s">
        <v>32</v>
      </c>
      <c r="E575" s="2">
        <v>45358</v>
      </c>
      <c r="F575" s="2">
        <v>45365</v>
      </c>
      <c r="G575" s="2">
        <v>45362</v>
      </c>
      <c r="H575" s="3">
        <v>1</v>
      </c>
      <c r="I575" s="4">
        <v>6000</v>
      </c>
      <c r="J575" s="4">
        <v>6100</v>
      </c>
      <c r="K575" t="s">
        <v>15</v>
      </c>
      <c r="L575" s="4">
        <f t="shared" si="24"/>
        <v>-100</v>
      </c>
      <c r="M575" t="str">
        <f t="shared" si="25"/>
        <v>Over Budget</v>
      </c>
      <c r="N575">
        <f t="shared" ca="1" si="26"/>
        <v>-3</v>
      </c>
    </row>
    <row r="576" spans="1:14" x14ac:dyDescent="0.25">
      <c r="A576" t="s">
        <v>29</v>
      </c>
      <c r="B576" t="s">
        <v>110</v>
      </c>
      <c r="C576" t="s">
        <v>39</v>
      </c>
      <c r="D576" t="s">
        <v>32</v>
      </c>
      <c r="E576" s="2">
        <v>45664</v>
      </c>
      <c r="F576" s="2">
        <v>45680</v>
      </c>
      <c r="G576" s="2"/>
      <c r="H576" s="3">
        <v>0.41</v>
      </c>
      <c r="I576" s="4">
        <v>25000</v>
      </c>
      <c r="J576" s="4">
        <v>8300</v>
      </c>
      <c r="K576" t="s">
        <v>94</v>
      </c>
      <c r="L576" s="4">
        <f t="shared" si="24"/>
        <v>16700</v>
      </c>
      <c r="M576" t="str">
        <f t="shared" si="25"/>
        <v>Within Budget</v>
      </c>
      <c r="N576">
        <f t="shared" ca="1" si="26"/>
        <v>606</v>
      </c>
    </row>
    <row r="577" spans="1:14" x14ac:dyDescent="0.25">
      <c r="A577" t="s">
        <v>79</v>
      </c>
      <c r="B577" t="s">
        <v>90</v>
      </c>
      <c r="C577" t="s">
        <v>61</v>
      </c>
      <c r="D577" t="s">
        <v>32</v>
      </c>
      <c r="E577" s="2">
        <v>45340</v>
      </c>
      <c r="F577" s="2">
        <v>45360</v>
      </c>
      <c r="G577" s="2">
        <v>45378</v>
      </c>
      <c r="H577" s="3">
        <v>1</v>
      </c>
      <c r="I577" s="4">
        <v>36000</v>
      </c>
      <c r="J577" s="4">
        <v>49600</v>
      </c>
      <c r="K577" t="s">
        <v>15</v>
      </c>
      <c r="L577" s="4">
        <f t="shared" si="24"/>
        <v>-13600</v>
      </c>
      <c r="M577" t="str">
        <f t="shared" si="25"/>
        <v>Over Budget</v>
      </c>
      <c r="N577">
        <f t="shared" ca="1" si="26"/>
        <v>18</v>
      </c>
    </row>
    <row r="578" spans="1:14" x14ac:dyDescent="0.25">
      <c r="A578" t="s">
        <v>77</v>
      </c>
      <c r="B578" t="s">
        <v>90</v>
      </c>
      <c r="C578" t="s">
        <v>113</v>
      </c>
      <c r="D578" t="s">
        <v>36</v>
      </c>
      <c r="E578" s="2">
        <v>45701</v>
      </c>
      <c r="F578" s="2">
        <v>45740</v>
      </c>
      <c r="G578" s="2"/>
      <c r="H578" s="3">
        <v>0.37</v>
      </c>
      <c r="I578" s="4">
        <v>35000</v>
      </c>
      <c r="J578" s="4">
        <v>8500</v>
      </c>
      <c r="K578" t="s">
        <v>94</v>
      </c>
      <c r="L578" s="4">
        <f t="shared" si="24"/>
        <v>26500</v>
      </c>
      <c r="M578" t="str">
        <f t="shared" si="25"/>
        <v>Within Budget</v>
      </c>
      <c r="N578">
        <f t="shared" ca="1" si="26"/>
        <v>546</v>
      </c>
    </row>
    <row r="579" spans="1:14" x14ac:dyDescent="0.25">
      <c r="A579" t="s">
        <v>118</v>
      </c>
      <c r="B579" t="s">
        <v>49</v>
      </c>
      <c r="C579" t="s">
        <v>60</v>
      </c>
      <c r="D579" t="s">
        <v>36</v>
      </c>
      <c r="E579" s="2">
        <v>45500</v>
      </c>
      <c r="F579" s="2">
        <v>45524</v>
      </c>
      <c r="G579" s="2"/>
      <c r="H579" s="3">
        <v>0.67</v>
      </c>
      <c r="I579" s="4">
        <v>17000</v>
      </c>
      <c r="J579" s="4">
        <v>12000</v>
      </c>
      <c r="K579" t="s">
        <v>19</v>
      </c>
      <c r="L579" s="4">
        <f t="shared" ref="L579:L642" si="27">I579-J579</f>
        <v>5000</v>
      </c>
      <c r="M579" t="str">
        <f t="shared" ref="M579:M642" si="28">IF(L579&lt;0, "Over Budget", "Within Budget")</f>
        <v>Within Budget</v>
      </c>
      <c r="N579">
        <f t="shared" ref="N579:N642" ca="1" si="29">IF(G579="",TODAY()-F579,G579-F579)</f>
        <v>762</v>
      </c>
    </row>
    <row r="580" spans="1:14" x14ac:dyDescent="0.25">
      <c r="A580" t="s">
        <v>121</v>
      </c>
      <c r="B580" t="s">
        <v>115</v>
      </c>
      <c r="C580" t="s">
        <v>60</v>
      </c>
      <c r="D580" t="s">
        <v>14</v>
      </c>
      <c r="E580" s="2">
        <v>45353</v>
      </c>
      <c r="F580" s="2">
        <v>45382</v>
      </c>
      <c r="G580" s="2">
        <v>45400</v>
      </c>
      <c r="H580" s="3">
        <v>1</v>
      </c>
      <c r="I580" s="4">
        <v>48000</v>
      </c>
      <c r="J580" s="4">
        <v>49100</v>
      </c>
      <c r="K580" t="s">
        <v>15</v>
      </c>
      <c r="L580" s="4">
        <f t="shared" si="27"/>
        <v>-1100</v>
      </c>
      <c r="M580" t="str">
        <f t="shared" si="28"/>
        <v>Over Budget</v>
      </c>
      <c r="N580">
        <f t="shared" ca="1" si="29"/>
        <v>18</v>
      </c>
    </row>
    <row r="581" spans="1:14" x14ac:dyDescent="0.25">
      <c r="A581" t="s">
        <v>121</v>
      </c>
      <c r="B581" t="s">
        <v>85</v>
      </c>
      <c r="C581" t="s">
        <v>28</v>
      </c>
      <c r="D581" t="s">
        <v>36</v>
      </c>
      <c r="E581" s="2">
        <v>45560</v>
      </c>
      <c r="F581" s="2">
        <v>45574</v>
      </c>
      <c r="G581" s="2">
        <v>45564</v>
      </c>
      <c r="H581" s="3">
        <v>1</v>
      </c>
      <c r="I581" s="4">
        <v>19000</v>
      </c>
      <c r="J581" s="4">
        <v>23200</v>
      </c>
      <c r="K581" t="s">
        <v>15</v>
      </c>
      <c r="L581" s="4">
        <f t="shared" si="27"/>
        <v>-4200</v>
      </c>
      <c r="M581" t="str">
        <f t="shared" si="28"/>
        <v>Over Budget</v>
      </c>
      <c r="N581">
        <f t="shared" ca="1" si="29"/>
        <v>-10</v>
      </c>
    </row>
    <row r="582" spans="1:14" x14ac:dyDescent="0.25">
      <c r="A582" t="s">
        <v>107</v>
      </c>
      <c r="B582" t="s">
        <v>96</v>
      </c>
      <c r="C582" t="s">
        <v>105</v>
      </c>
      <c r="D582" t="s">
        <v>23</v>
      </c>
      <c r="E582" s="2">
        <v>45325</v>
      </c>
      <c r="F582" s="2">
        <v>45344</v>
      </c>
      <c r="G582" s="2"/>
      <c r="H582" s="3">
        <v>0.69</v>
      </c>
      <c r="I582" s="4">
        <v>34000</v>
      </c>
      <c r="J582" s="4">
        <v>21300</v>
      </c>
      <c r="K582" t="s">
        <v>19</v>
      </c>
      <c r="L582" s="4">
        <f t="shared" si="27"/>
        <v>12700</v>
      </c>
      <c r="M582" t="str">
        <f t="shared" si="28"/>
        <v>Within Budget</v>
      </c>
      <c r="N582">
        <f t="shared" ca="1" si="29"/>
        <v>942</v>
      </c>
    </row>
    <row r="583" spans="1:14" x14ac:dyDescent="0.25">
      <c r="A583" t="s">
        <v>24</v>
      </c>
      <c r="B583" t="s">
        <v>75</v>
      </c>
      <c r="C583" t="s">
        <v>87</v>
      </c>
      <c r="D583" t="s">
        <v>23</v>
      </c>
      <c r="E583" s="2">
        <v>45442</v>
      </c>
      <c r="F583" s="2">
        <v>45470</v>
      </c>
      <c r="G583" s="2">
        <v>45473</v>
      </c>
      <c r="H583" s="3">
        <v>1</v>
      </c>
      <c r="I583" s="4">
        <v>31000</v>
      </c>
      <c r="J583" s="4">
        <v>35400</v>
      </c>
      <c r="K583" t="s">
        <v>15</v>
      </c>
      <c r="L583" s="4">
        <f t="shared" si="27"/>
        <v>-4400</v>
      </c>
      <c r="M583" t="str">
        <f t="shared" si="28"/>
        <v>Over Budget</v>
      </c>
      <c r="N583">
        <f t="shared" ca="1" si="29"/>
        <v>3</v>
      </c>
    </row>
    <row r="584" spans="1:14" x14ac:dyDescent="0.25">
      <c r="A584" t="s">
        <v>68</v>
      </c>
      <c r="B584" t="s">
        <v>110</v>
      </c>
      <c r="C584" t="s">
        <v>111</v>
      </c>
      <c r="D584" t="s">
        <v>36</v>
      </c>
      <c r="E584" s="2">
        <v>45504</v>
      </c>
      <c r="F584" s="2">
        <v>45530</v>
      </c>
      <c r="G584" s="2">
        <v>45534</v>
      </c>
      <c r="H584" s="3">
        <v>1</v>
      </c>
      <c r="I584" s="4">
        <v>39000</v>
      </c>
      <c r="J584" s="4">
        <v>36600</v>
      </c>
      <c r="K584" t="s">
        <v>15</v>
      </c>
      <c r="L584" s="4">
        <f t="shared" si="27"/>
        <v>2400</v>
      </c>
      <c r="M584" t="str">
        <f t="shared" si="28"/>
        <v>Within Budget</v>
      </c>
      <c r="N584">
        <f t="shared" ca="1" si="29"/>
        <v>4</v>
      </c>
    </row>
    <row r="585" spans="1:14" x14ac:dyDescent="0.25">
      <c r="A585" t="s">
        <v>99</v>
      </c>
      <c r="B585" t="s">
        <v>125</v>
      </c>
      <c r="C585" t="s">
        <v>44</v>
      </c>
      <c r="D585" t="s">
        <v>23</v>
      </c>
      <c r="E585" s="2">
        <v>45500</v>
      </c>
      <c r="F585" s="2">
        <v>45507</v>
      </c>
      <c r="G585" s="2">
        <v>45509</v>
      </c>
      <c r="H585" s="3">
        <v>1</v>
      </c>
      <c r="I585" s="4">
        <v>12000</v>
      </c>
      <c r="J585" s="4">
        <v>15200</v>
      </c>
      <c r="K585" t="s">
        <v>15</v>
      </c>
      <c r="L585" s="4">
        <f t="shared" si="27"/>
        <v>-3200</v>
      </c>
      <c r="M585" t="str">
        <f t="shared" si="28"/>
        <v>Over Budget</v>
      </c>
      <c r="N585">
        <f t="shared" ca="1" si="29"/>
        <v>2</v>
      </c>
    </row>
    <row r="586" spans="1:14" x14ac:dyDescent="0.25">
      <c r="A586" t="s">
        <v>53</v>
      </c>
      <c r="B586" t="s">
        <v>102</v>
      </c>
      <c r="C586" t="s">
        <v>87</v>
      </c>
      <c r="D586" t="s">
        <v>36</v>
      </c>
      <c r="E586" s="2">
        <v>45701</v>
      </c>
      <c r="F586" s="2">
        <v>45713</v>
      </c>
      <c r="G586" s="2">
        <v>45729</v>
      </c>
      <c r="H586" s="3">
        <v>1</v>
      </c>
      <c r="I586" s="4">
        <v>44000</v>
      </c>
      <c r="J586" s="4">
        <v>43300</v>
      </c>
      <c r="K586" t="s">
        <v>15</v>
      </c>
      <c r="L586" s="4">
        <f t="shared" si="27"/>
        <v>700</v>
      </c>
      <c r="M586" t="str">
        <f t="shared" si="28"/>
        <v>Within Budget</v>
      </c>
      <c r="N586">
        <f t="shared" ca="1" si="29"/>
        <v>16</v>
      </c>
    </row>
    <row r="587" spans="1:14" x14ac:dyDescent="0.25">
      <c r="A587" t="s">
        <v>33</v>
      </c>
      <c r="B587" t="s">
        <v>69</v>
      </c>
      <c r="C587" t="s">
        <v>44</v>
      </c>
      <c r="D587" t="s">
        <v>14</v>
      </c>
      <c r="E587" s="2">
        <v>45625</v>
      </c>
      <c r="F587" s="2">
        <v>45640</v>
      </c>
      <c r="G587" s="2">
        <v>45634</v>
      </c>
      <c r="H587" s="3">
        <v>1</v>
      </c>
      <c r="I587" s="4">
        <v>35000</v>
      </c>
      <c r="J587" s="4">
        <v>32300</v>
      </c>
      <c r="K587" t="s">
        <v>15</v>
      </c>
      <c r="L587" s="4">
        <f t="shared" si="27"/>
        <v>2700</v>
      </c>
      <c r="M587" t="str">
        <f t="shared" si="28"/>
        <v>Within Budget</v>
      </c>
      <c r="N587">
        <f t="shared" ca="1" si="29"/>
        <v>-6</v>
      </c>
    </row>
    <row r="588" spans="1:14" x14ac:dyDescent="0.25">
      <c r="A588" t="s">
        <v>118</v>
      </c>
      <c r="B588" t="s">
        <v>117</v>
      </c>
      <c r="C588" t="s">
        <v>100</v>
      </c>
      <c r="D588" t="s">
        <v>14</v>
      </c>
      <c r="E588" s="2">
        <v>45743</v>
      </c>
      <c r="F588" s="2">
        <v>45766</v>
      </c>
      <c r="G588" s="2"/>
      <c r="H588" s="3">
        <v>0</v>
      </c>
      <c r="I588" s="4">
        <v>39000</v>
      </c>
      <c r="J588" s="4">
        <v>0</v>
      </c>
      <c r="K588" t="s">
        <v>48</v>
      </c>
      <c r="L588" s="4">
        <f t="shared" si="27"/>
        <v>39000</v>
      </c>
      <c r="M588" t="str">
        <f t="shared" si="28"/>
        <v>Within Budget</v>
      </c>
      <c r="N588">
        <f t="shared" ca="1" si="29"/>
        <v>520</v>
      </c>
    </row>
    <row r="589" spans="1:14" x14ac:dyDescent="0.25">
      <c r="A589" t="s">
        <v>109</v>
      </c>
      <c r="B589" t="s">
        <v>30</v>
      </c>
      <c r="C589" t="s">
        <v>41</v>
      </c>
      <c r="D589" t="s">
        <v>14</v>
      </c>
      <c r="E589" s="2">
        <v>45296</v>
      </c>
      <c r="F589" s="2">
        <v>45308</v>
      </c>
      <c r="G589" s="2">
        <v>45325</v>
      </c>
      <c r="H589" s="3">
        <v>1</v>
      </c>
      <c r="I589" s="4">
        <v>15000</v>
      </c>
      <c r="J589" s="4">
        <v>19300</v>
      </c>
      <c r="K589" t="s">
        <v>15</v>
      </c>
      <c r="L589" s="4">
        <f t="shared" si="27"/>
        <v>-4300</v>
      </c>
      <c r="M589" t="str">
        <f t="shared" si="28"/>
        <v>Over Budget</v>
      </c>
      <c r="N589">
        <f t="shared" ca="1" si="29"/>
        <v>17</v>
      </c>
    </row>
    <row r="590" spans="1:14" x14ac:dyDescent="0.25">
      <c r="A590" t="s">
        <v>104</v>
      </c>
      <c r="B590" t="s">
        <v>74</v>
      </c>
      <c r="C590" t="s">
        <v>113</v>
      </c>
      <c r="D590" t="s">
        <v>36</v>
      </c>
      <c r="E590" s="2">
        <v>45300</v>
      </c>
      <c r="F590" s="2">
        <v>45317</v>
      </c>
      <c r="G590" s="2">
        <v>45347</v>
      </c>
      <c r="H590" s="3">
        <v>1</v>
      </c>
      <c r="I590" s="4">
        <v>15000</v>
      </c>
      <c r="J590" s="4">
        <v>16700</v>
      </c>
      <c r="K590" t="s">
        <v>15</v>
      </c>
      <c r="L590" s="4">
        <f t="shared" si="27"/>
        <v>-1700</v>
      </c>
      <c r="M590" t="str">
        <f t="shared" si="28"/>
        <v>Over Budget</v>
      </c>
      <c r="N590">
        <f t="shared" ca="1" si="29"/>
        <v>30</v>
      </c>
    </row>
    <row r="591" spans="1:14" x14ac:dyDescent="0.25">
      <c r="A591" t="s">
        <v>20</v>
      </c>
      <c r="B591" t="s">
        <v>108</v>
      </c>
      <c r="C591" t="s">
        <v>44</v>
      </c>
      <c r="D591" t="s">
        <v>23</v>
      </c>
      <c r="E591" s="2">
        <v>45333</v>
      </c>
      <c r="F591" s="2">
        <v>45365</v>
      </c>
      <c r="G591" s="2">
        <v>45348</v>
      </c>
      <c r="H591" s="3">
        <v>0.15</v>
      </c>
      <c r="I591" s="4">
        <v>36000</v>
      </c>
      <c r="J591" s="4">
        <v>8000</v>
      </c>
      <c r="K591" t="s">
        <v>27</v>
      </c>
      <c r="L591" s="4">
        <f t="shared" si="27"/>
        <v>28000</v>
      </c>
      <c r="M591" t="str">
        <f t="shared" si="28"/>
        <v>Within Budget</v>
      </c>
      <c r="N591">
        <f t="shared" ca="1" si="29"/>
        <v>-17</v>
      </c>
    </row>
    <row r="592" spans="1:14" x14ac:dyDescent="0.25">
      <c r="A592" t="s">
        <v>37</v>
      </c>
      <c r="B592" t="s">
        <v>51</v>
      </c>
      <c r="C592" t="s">
        <v>111</v>
      </c>
      <c r="D592" t="s">
        <v>23</v>
      </c>
      <c r="E592" s="2">
        <v>45359</v>
      </c>
      <c r="F592" s="2">
        <v>45388</v>
      </c>
      <c r="G592" s="2">
        <v>45391</v>
      </c>
      <c r="H592" s="3">
        <v>1</v>
      </c>
      <c r="I592" s="4">
        <v>50000</v>
      </c>
      <c r="J592" s="4">
        <v>58500</v>
      </c>
      <c r="K592" t="s">
        <v>15</v>
      </c>
      <c r="L592" s="4">
        <f t="shared" si="27"/>
        <v>-8500</v>
      </c>
      <c r="M592" t="str">
        <f t="shared" si="28"/>
        <v>Over Budget</v>
      </c>
      <c r="N592">
        <f t="shared" ca="1" si="29"/>
        <v>3</v>
      </c>
    </row>
    <row r="593" spans="1:14" x14ac:dyDescent="0.25">
      <c r="A593" t="s">
        <v>72</v>
      </c>
      <c r="B593" t="s">
        <v>93</v>
      </c>
      <c r="C593" t="s">
        <v>52</v>
      </c>
      <c r="D593" t="s">
        <v>14</v>
      </c>
      <c r="E593" s="2">
        <v>45652</v>
      </c>
      <c r="F593" s="2">
        <v>45674</v>
      </c>
      <c r="G593" s="2"/>
      <c r="H593" s="3">
        <v>0.74</v>
      </c>
      <c r="I593" s="4">
        <v>46000</v>
      </c>
      <c r="J593" s="4">
        <v>37300</v>
      </c>
      <c r="K593" t="s">
        <v>19</v>
      </c>
      <c r="L593" s="4">
        <f t="shared" si="27"/>
        <v>8700</v>
      </c>
      <c r="M593" t="str">
        <f t="shared" si="28"/>
        <v>Within Budget</v>
      </c>
      <c r="N593">
        <f t="shared" ca="1" si="29"/>
        <v>612</v>
      </c>
    </row>
    <row r="594" spans="1:14" x14ac:dyDescent="0.25">
      <c r="A594" t="s">
        <v>81</v>
      </c>
      <c r="B594" t="s">
        <v>119</v>
      </c>
      <c r="C594" t="s">
        <v>71</v>
      </c>
      <c r="D594" t="s">
        <v>14</v>
      </c>
      <c r="E594" s="2">
        <v>45348</v>
      </c>
      <c r="F594" s="2">
        <v>45369</v>
      </c>
      <c r="G594" s="2">
        <v>45410</v>
      </c>
      <c r="H594" s="3">
        <v>1</v>
      </c>
      <c r="I594" s="4">
        <v>40000</v>
      </c>
      <c r="J594" s="4">
        <v>49400</v>
      </c>
      <c r="K594" t="s">
        <v>15</v>
      </c>
      <c r="L594" s="4">
        <f t="shared" si="27"/>
        <v>-9400</v>
      </c>
      <c r="M594" t="str">
        <f t="shared" si="28"/>
        <v>Over Budget</v>
      </c>
      <c r="N594">
        <f t="shared" ca="1" si="29"/>
        <v>41</v>
      </c>
    </row>
    <row r="595" spans="1:14" x14ac:dyDescent="0.25">
      <c r="A595" t="s">
        <v>109</v>
      </c>
      <c r="B595" t="s">
        <v>88</v>
      </c>
      <c r="C595" t="s">
        <v>39</v>
      </c>
      <c r="D595" t="s">
        <v>14</v>
      </c>
      <c r="E595" s="2">
        <v>45326</v>
      </c>
      <c r="F595" s="2">
        <v>45339</v>
      </c>
      <c r="G595" s="2">
        <v>45340</v>
      </c>
      <c r="H595" s="3">
        <v>1</v>
      </c>
      <c r="I595" s="4">
        <v>49000</v>
      </c>
      <c r="J595" s="4">
        <v>54500</v>
      </c>
      <c r="K595" t="s">
        <v>15</v>
      </c>
      <c r="L595" s="4">
        <f t="shared" si="27"/>
        <v>-5500</v>
      </c>
      <c r="M595" t="str">
        <f t="shared" si="28"/>
        <v>Over Budget</v>
      </c>
      <c r="N595">
        <f t="shared" ca="1" si="29"/>
        <v>1</v>
      </c>
    </row>
    <row r="596" spans="1:14" x14ac:dyDescent="0.25">
      <c r="A596" t="s">
        <v>11</v>
      </c>
      <c r="B596" t="s">
        <v>90</v>
      </c>
      <c r="C596" t="s">
        <v>44</v>
      </c>
      <c r="D596" t="s">
        <v>14</v>
      </c>
      <c r="E596" s="2">
        <v>45446</v>
      </c>
      <c r="F596" s="2">
        <v>45479</v>
      </c>
      <c r="G596" s="2">
        <v>45494</v>
      </c>
      <c r="H596" s="3">
        <v>1</v>
      </c>
      <c r="I596" s="4">
        <v>79000</v>
      </c>
      <c r="J596" s="4">
        <v>77000</v>
      </c>
      <c r="K596" t="s">
        <v>15</v>
      </c>
      <c r="L596" s="4">
        <f t="shared" si="27"/>
        <v>2000</v>
      </c>
      <c r="M596" t="str">
        <f t="shared" si="28"/>
        <v>Within Budget</v>
      </c>
      <c r="N596">
        <f t="shared" ca="1" si="29"/>
        <v>15</v>
      </c>
    </row>
    <row r="597" spans="1:14" x14ac:dyDescent="0.25">
      <c r="A597" t="s">
        <v>81</v>
      </c>
      <c r="B597" t="s">
        <v>64</v>
      </c>
      <c r="C597" t="s">
        <v>22</v>
      </c>
      <c r="D597" t="s">
        <v>23</v>
      </c>
      <c r="E597" s="2">
        <v>45296</v>
      </c>
      <c r="F597" s="2">
        <v>45318</v>
      </c>
      <c r="G597" s="2">
        <v>45305</v>
      </c>
      <c r="H597" s="3">
        <v>0.3</v>
      </c>
      <c r="I597" s="4">
        <v>27000</v>
      </c>
      <c r="J597" s="4">
        <v>3400</v>
      </c>
      <c r="K597" t="s">
        <v>27</v>
      </c>
      <c r="L597" s="4">
        <f t="shared" si="27"/>
        <v>23600</v>
      </c>
      <c r="M597" t="str">
        <f t="shared" si="28"/>
        <v>Within Budget</v>
      </c>
      <c r="N597">
        <f t="shared" ca="1" si="29"/>
        <v>-13</v>
      </c>
    </row>
    <row r="598" spans="1:14" x14ac:dyDescent="0.25">
      <c r="A598" t="s">
        <v>45</v>
      </c>
      <c r="B598" t="s">
        <v>21</v>
      </c>
      <c r="C598" t="s">
        <v>87</v>
      </c>
      <c r="D598" t="s">
        <v>23</v>
      </c>
      <c r="E598" s="2">
        <v>45319</v>
      </c>
      <c r="F598" s="2">
        <v>45333</v>
      </c>
      <c r="G598" s="2">
        <v>45345</v>
      </c>
      <c r="H598" s="3">
        <v>1</v>
      </c>
      <c r="I598" s="4">
        <v>42000</v>
      </c>
      <c r="J598" s="4">
        <v>47800</v>
      </c>
      <c r="K598" t="s">
        <v>15</v>
      </c>
      <c r="L598" s="4">
        <f t="shared" si="27"/>
        <v>-5800</v>
      </c>
      <c r="M598" t="str">
        <f t="shared" si="28"/>
        <v>Over Budget</v>
      </c>
      <c r="N598">
        <f t="shared" ca="1" si="29"/>
        <v>12</v>
      </c>
    </row>
    <row r="599" spans="1:14" x14ac:dyDescent="0.25">
      <c r="A599" t="s">
        <v>45</v>
      </c>
      <c r="B599" t="s">
        <v>124</v>
      </c>
      <c r="C599" t="s">
        <v>112</v>
      </c>
      <c r="D599" t="s">
        <v>32</v>
      </c>
      <c r="E599" s="2">
        <v>45447</v>
      </c>
      <c r="F599" s="2">
        <v>45464</v>
      </c>
      <c r="G599" s="2">
        <v>45464</v>
      </c>
      <c r="H599" s="3">
        <v>1</v>
      </c>
      <c r="I599" s="4">
        <v>27000</v>
      </c>
      <c r="J599" s="4">
        <v>36700</v>
      </c>
      <c r="K599" t="s">
        <v>15</v>
      </c>
      <c r="L599" s="4">
        <f t="shared" si="27"/>
        <v>-9700</v>
      </c>
      <c r="M599" t="str">
        <f t="shared" si="28"/>
        <v>Over Budget</v>
      </c>
      <c r="N599">
        <f t="shared" ca="1" si="29"/>
        <v>0</v>
      </c>
    </row>
    <row r="600" spans="1:14" x14ac:dyDescent="0.25">
      <c r="A600" t="s">
        <v>57</v>
      </c>
      <c r="B600" t="s">
        <v>38</v>
      </c>
      <c r="C600" t="s">
        <v>112</v>
      </c>
      <c r="D600" t="s">
        <v>14</v>
      </c>
      <c r="E600" s="2">
        <v>45628</v>
      </c>
      <c r="F600" s="2">
        <v>45650</v>
      </c>
      <c r="G600" s="2"/>
      <c r="H600" s="3">
        <v>0.69</v>
      </c>
      <c r="I600" s="4">
        <v>27000</v>
      </c>
      <c r="J600" s="4">
        <v>34600</v>
      </c>
      <c r="K600" t="s">
        <v>19</v>
      </c>
      <c r="L600" s="4">
        <f t="shared" si="27"/>
        <v>-7600</v>
      </c>
      <c r="M600" t="str">
        <f t="shared" si="28"/>
        <v>Over Budget</v>
      </c>
      <c r="N600">
        <f t="shared" ca="1" si="29"/>
        <v>636</v>
      </c>
    </row>
    <row r="601" spans="1:14" x14ac:dyDescent="0.25">
      <c r="A601" t="s">
        <v>104</v>
      </c>
      <c r="B601" t="s">
        <v>95</v>
      </c>
      <c r="C601" t="s">
        <v>61</v>
      </c>
      <c r="D601" t="s">
        <v>36</v>
      </c>
      <c r="E601" s="2">
        <v>45524</v>
      </c>
      <c r="F601" s="2">
        <v>45554</v>
      </c>
      <c r="G601" s="2"/>
      <c r="H601" s="3">
        <v>0.79</v>
      </c>
      <c r="I601" s="4">
        <v>10000</v>
      </c>
      <c r="J601" s="4">
        <v>12100</v>
      </c>
      <c r="K601" t="s">
        <v>19</v>
      </c>
      <c r="L601" s="4">
        <f t="shared" si="27"/>
        <v>-2100</v>
      </c>
      <c r="M601" t="str">
        <f t="shared" si="28"/>
        <v>Over Budget</v>
      </c>
      <c r="N601">
        <f t="shared" ca="1" si="29"/>
        <v>732</v>
      </c>
    </row>
    <row r="602" spans="1:14" x14ac:dyDescent="0.25">
      <c r="A602" t="s">
        <v>68</v>
      </c>
      <c r="B602" t="s">
        <v>76</v>
      </c>
      <c r="C602" t="s">
        <v>67</v>
      </c>
      <c r="D602" t="s">
        <v>14</v>
      </c>
      <c r="E602" s="2">
        <v>45784</v>
      </c>
      <c r="F602" s="2">
        <v>45818</v>
      </c>
      <c r="G602" s="2"/>
      <c r="H602" s="3">
        <v>0.4</v>
      </c>
      <c r="I602" s="4">
        <v>90000</v>
      </c>
      <c r="J602" s="4">
        <v>36700</v>
      </c>
      <c r="K602" t="s">
        <v>65</v>
      </c>
      <c r="L602" s="4">
        <f t="shared" si="27"/>
        <v>53300</v>
      </c>
      <c r="M602" t="str">
        <f t="shared" si="28"/>
        <v>Within Budget</v>
      </c>
      <c r="N602">
        <f t="shared" ca="1" si="29"/>
        <v>468</v>
      </c>
    </row>
    <row r="603" spans="1:14" x14ac:dyDescent="0.25">
      <c r="A603" t="s">
        <v>57</v>
      </c>
      <c r="B603" t="s">
        <v>93</v>
      </c>
      <c r="C603" t="s">
        <v>87</v>
      </c>
      <c r="D603" t="s">
        <v>23</v>
      </c>
      <c r="E603" s="2">
        <v>45408</v>
      </c>
      <c r="F603" s="2">
        <v>45417</v>
      </c>
      <c r="G603" s="2"/>
      <c r="H603" s="3">
        <v>0.42</v>
      </c>
      <c r="I603" s="4">
        <v>8000</v>
      </c>
      <c r="J603" s="4">
        <v>4300</v>
      </c>
      <c r="K603" t="s">
        <v>19</v>
      </c>
      <c r="L603" s="4">
        <f t="shared" si="27"/>
        <v>3700</v>
      </c>
      <c r="M603" t="str">
        <f t="shared" si="28"/>
        <v>Within Budget</v>
      </c>
      <c r="N603">
        <f t="shared" ca="1" si="29"/>
        <v>869</v>
      </c>
    </row>
    <row r="604" spans="1:14" x14ac:dyDescent="0.25">
      <c r="A604" t="s">
        <v>91</v>
      </c>
      <c r="B604" t="s">
        <v>78</v>
      </c>
      <c r="C604" t="s">
        <v>112</v>
      </c>
      <c r="D604" t="s">
        <v>14</v>
      </c>
      <c r="E604" s="2">
        <v>45368</v>
      </c>
      <c r="F604" s="2">
        <v>45394</v>
      </c>
      <c r="G604" s="2">
        <v>45396</v>
      </c>
      <c r="H604" s="3">
        <v>1</v>
      </c>
      <c r="I604" s="4">
        <v>34000</v>
      </c>
      <c r="J604" s="4">
        <v>39700</v>
      </c>
      <c r="K604" t="s">
        <v>15</v>
      </c>
      <c r="L604" s="4">
        <f t="shared" si="27"/>
        <v>-5700</v>
      </c>
      <c r="M604" t="str">
        <f t="shared" si="28"/>
        <v>Over Budget</v>
      </c>
      <c r="N604">
        <f t="shared" ca="1" si="29"/>
        <v>2</v>
      </c>
    </row>
    <row r="605" spans="1:14" x14ac:dyDescent="0.25">
      <c r="A605" t="s">
        <v>16</v>
      </c>
      <c r="B605" t="s">
        <v>90</v>
      </c>
      <c r="C605" t="s">
        <v>44</v>
      </c>
      <c r="D605" t="s">
        <v>36</v>
      </c>
      <c r="E605" s="2">
        <v>45403</v>
      </c>
      <c r="F605" s="2">
        <v>45420</v>
      </c>
      <c r="G605" s="2">
        <v>45459</v>
      </c>
      <c r="H605" s="3">
        <v>1</v>
      </c>
      <c r="I605" s="4">
        <v>39000</v>
      </c>
      <c r="J605" s="4">
        <v>42000</v>
      </c>
      <c r="K605" t="s">
        <v>15</v>
      </c>
      <c r="L605" s="4">
        <f t="shared" si="27"/>
        <v>-3000</v>
      </c>
      <c r="M605" t="str">
        <f t="shared" si="28"/>
        <v>Over Budget</v>
      </c>
      <c r="N605">
        <f t="shared" ca="1" si="29"/>
        <v>39</v>
      </c>
    </row>
    <row r="606" spans="1:14" x14ac:dyDescent="0.25">
      <c r="A606" t="s">
        <v>53</v>
      </c>
      <c r="B606" t="s">
        <v>114</v>
      </c>
      <c r="C606" t="s">
        <v>26</v>
      </c>
      <c r="D606" t="s">
        <v>14</v>
      </c>
      <c r="E606" s="2">
        <v>45611</v>
      </c>
      <c r="F606" s="2">
        <v>45633</v>
      </c>
      <c r="G606" s="2">
        <v>45645</v>
      </c>
      <c r="H606" s="3">
        <v>1</v>
      </c>
      <c r="I606" s="4">
        <v>44000</v>
      </c>
      <c r="J606" s="4">
        <v>54200</v>
      </c>
      <c r="K606" t="s">
        <v>15</v>
      </c>
      <c r="L606" s="4">
        <f t="shared" si="27"/>
        <v>-10200</v>
      </c>
      <c r="M606" t="str">
        <f t="shared" si="28"/>
        <v>Over Budget</v>
      </c>
      <c r="N606">
        <f t="shared" ca="1" si="29"/>
        <v>12</v>
      </c>
    </row>
    <row r="607" spans="1:14" x14ac:dyDescent="0.25">
      <c r="A607" t="s">
        <v>62</v>
      </c>
      <c r="B607" t="s">
        <v>63</v>
      </c>
      <c r="C607" t="s">
        <v>112</v>
      </c>
      <c r="D607" t="s">
        <v>14</v>
      </c>
      <c r="E607" s="2">
        <v>45663</v>
      </c>
      <c r="F607" s="2">
        <v>45675</v>
      </c>
      <c r="G607" s="2">
        <v>45692</v>
      </c>
      <c r="H607" s="3">
        <v>1</v>
      </c>
      <c r="I607" s="4">
        <v>26000</v>
      </c>
      <c r="J607" s="4">
        <v>33700</v>
      </c>
      <c r="K607" t="s">
        <v>15</v>
      </c>
      <c r="L607" s="4">
        <f t="shared" si="27"/>
        <v>-7700</v>
      </c>
      <c r="M607" t="str">
        <f t="shared" si="28"/>
        <v>Over Budget</v>
      </c>
      <c r="N607">
        <f t="shared" ca="1" si="29"/>
        <v>17</v>
      </c>
    </row>
    <row r="608" spans="1:14" x14ac:dyDescent="0.25">
      <c r="A608" t="s">
        <v>99</v>
      </c>
      <c r="B608" t="s">
        <v>25</v>
      </c>
      <c r="C608" t="s">
        <v>13</v>
      </c>
      <c r="D608" t="s">
        <v>14</v>
      </c>
      <c r="E608" s="2">
        <v>45771</v>
      </c>
      <c r="F608" s="2">
        <v>45781</v>
      </c>
      <c r="G608" s="2"/>
      <c r="H608" s="3">
        <v>0.28999999999999998</v>
      </c>
      <c r="I608" s="4">
        <v>6000</v>
      </c>
      <c r="J608" s="4">
        <v>1900</v>
      </c>
      <c r="K608" t="s">
        <v>65</v>
      </c>
      <c r="L608" s="4">
        <f t="shared" si="27"/>
        <v>4100</v>
      </c>
      <c r="M608" t="str">
        <f t="shared" si="28"/>
        <v>Within Budget</v>
      </c>
      <c r="N608">
        <f t="shared" ca="1" si="29"/>
        <v>505</v>
      </c>
    </row>
    <row r="609" spans="1:14" x14ac:dyDescent="0.25">
      <c r="A609" t="s">
        <v>109</v>
      </c>
      <c r="B609" t="s">
        <v>21</v>
      </c>
      <c r="C609" t="s">
        <v>26</v>
      </c>
      <c r="D609" t="s">
        <v>36</v>
      </c>
      <c r="E609" s="2">
        <v>45304</v>
      </c>
      <c r="F609" s="2">
        <v>45312</v>
      </c>
      <c r="G609" s="2">
        <v>45307</v>
      </c>
      <c r="H609" s="3">
        <v>0</v>
      </c>
      <c r="I609" s="4">
        <v>13000</v>
      </c>
      <c r="J609" s="4">
        <v>3000</v>
      </c>
      <c r="K609" t="s">
        <v>27</v>
      </c>
      <c r="L609" s="4">
        <f t="shared" si="27"/>
        <v>10000</v>
      </c>
      <c r="M609" t="str">
        <f t="shared" si="28"/>
        <v>Within Budget</v>
      </c>
      <c r="N609">
        <f t="shared" ca="1" si="29"/>
        <v>-5</v>
      </c>
    </row>
    <row r="610" spans="1:14" x14ac:dyDescent="0.25">
      <c r="A610" t="s">
        <v>24</v>
      </c>
      <c r="B610" t="s">
        <v>90</v>
      </c>
      <c r="C610" t="s">
        <v>52</v>
      </c>
      <c r="D610" t="s">
        <v>14</v>
      </c>
      <c r="E610" s="2">
        <v>45503</v>
      </c>
      <c r="F610" s="2">
        <v>45527</v>
      </c>
      <c r="G610" s="2">
        <v>45530</v>
      </c>
      <c r="H610" s="3">
        <v>1</v>
      </c>
      <c r="I610" s="4">
        <v>49000</v>
      </c>
      <c r="J610" s="4">
        <v>56800</v>
      </c>
      <c r="K610" t="s">
        <v>15</v>
      </c>
      <c r="L610" s="4">
        <f t="shared" si="27"/>
        <v>-7800</v>
      </c>
      <c r="M610" t="str">
        <f t="shared" si="28"/>
        <v>Over Budget</v>
      </c>
      <c r="N610">
        <f t="shared" ca="1" si="29"/>
        <v>3</v>
      </c>
    </row>
    <row r="611" spans="1:14" x14ac:dyDescent="0.25">
      <c r="A611" t="s">
        <v>72</v>
      </c>
      <c r="B611" t="s">
        <v>124</v>
      </c>
      <c r="C611" t="s">
        <v>35</v>
      </c>
      <c r="D611" t="s">
        <v>14</v>
      </c>
      <c r="E611" s="2">
        <v>45514</v>
      </c>
      <c r="F611" s="2">
        <v>45548</v>
      </c>
      <c r="G611" s="2"/>
      <c r="H611" s="3">
        <v>0.85</v>
      </c>
      <c r="I611" s="4">
        <v>44000</v>
      </c>
      <c r="J611" s="4">
        <v>52900</v>
      </c>
      <c r="K611" t="s">
        <v>19</v>
      </c>
      <c r="L611" s="4">
        <f t="shared" si="27"/>
        <v>-8900</v>
      </c>
      <c r="M611" t="str">
        <f t="shared" si="28"/>
        <v>Over Budget</v>
      </c>
      <c r="N611">
        <f t="shared" ca="1" si="29"/>
        <v>738</v>
      </c>
    </row>
    <row r="612" spans="1:14" x14ac:dyDescent="0.25">
      <c r="A612" t="s">
        <v>11</v>
      </c>
      <c r="B612" t="s">
        <v>86</v>
      </c>
      <c r="C612" t="s">
        <v>111</v>
      </c>
      <c r="D612" t="s">
        <v>14</v>
      </c>
      <c r="E612" s="2">
        <v>45816</v>
      </c>
      <c r="F612" s="2">
        <v>45839</v>
      </c>
      <c r="G612" s="2"/>
      <c r="H612" s="3">
        <v>0.67</v>
      </c>
      <c r="I612" s="4">
        <v>43000</v>
      </c>
      <c r="J612" s="4">
        <v>30900</v>
      </c>
      <c r="K612" t="s">
        <v>65</v>
      </c>
      <c r="L612" s="4">
        <f t="shared" si="27"/>
        <v>12100</v>
      </c>
      <c r="M612" t="str">
        <f t="shared" si="28"/>
        <v>Within Budget</v>
      </c>
      <c r="N612">
        <f t="shared" ca="1" si="29"/>
        <v>447</v>
      </c>
    </row>
    <row r="613" spans="1:14" x14ac:dyDescent="0.25">
      <c r="A613" t="s">
        <v>33</v>
      </c>
      <c r="B613" t="s">
        <v>17</v>
      </c>
      <c r="C613" t="s">
        <v>87</v>
      </c>
      <c r="D613" t="s">
        <v>14</v>
      </c>
      <c r="E613" s="2">
        <v>45705</v>
      </c>
      <c r="F613" s="2">
        <v>45715</v>
      </c>
      <c r="G613" s="2">
        <v>45718</v>
      </c>
      <c r="H613" s="3">
        <v>1</v>
      </c>
      <c r="I613" s="4">
        <v>8000</v>
      </c>
      <c r="J613" s="4">
        <v>7200</v>
      </c>
      <c r="K613" t="s">
        <v>15</v>
      </c>
      <c r="L613" s="4">
        <f t="shared" si="27"/>
        <v>800</v>
      </c>
      <c r="M613" t="str">
        <f t="shared" si="28"/>
        <v>Within Budget</v>
      </c>
      <c r="N613">
        <f t="shared" ca="1" si="29"/>
        <v>3</v>
      </c>
    </row>
    <row r="614" spans="1:14" x14ac:dyDescent="0.25">
      <c r="A614" t="s">
        <v>57</v>
      </c>
      <c r="B614" t="s">
        <v>80</v>
      </c>
      <c r="C614" t="s">
        <v>35</v>
      </c>
      <c r="D614" t="s">
        <v>23</v>
      </c>
      <c r="E614" s="2">
        <v>45635</v>
      </c>
      <c r="F614" s="2">
        <v>45647</v>
      </c>
      <c r="G614" s="2">
        <v>45691</v>
      </c>
      <c r="H614" s="3">
        <v>1</v>
      </c>
      <c r="I614" s="4">
        <v>27000</v>
      </c>
      <c r="J614" s="4">
        <v>24200</v>
      </c>
      <c r="K614" t="s">
        <v>15</v>
      </c>
      <c r="L614" s="4">
        <f t="shared" si="27"/>
        <v>2800</v>
      </c>
      <c r="M614" t="str">
        <f t="shared" si="28"/>
        <v>Within Budget</v>
      </c>
      <c r="N614">
        <f t="shared" ca="1" si="29"/>
        <v>44</v>
      </c>
    </row>
    <row r="615" spans="1:14" x14ac:dyDescent="0.25">
      <c r="A615" t="s">
        <v>66</v>
      </c>
      <c r="B615" t="s">
        <v>95</v>
      </c>
      <c r="C615" t="s">
        <v>97</v>
      </c>
      <c r="D615" t="s">
        <v>36</v>
      </c>
      <c r="E615" s="2">
        <v>45786</v>
      </c>
      <c r="F615" s="2">
        <v>45800</v>
      </c>
      <c r="G615" s="2"/>
      <c r="H615" s="3">
        <v>0</v>
      </c>
      <c r="I615" s="4">
        <v>47000</v>
      </c>
      <c r="J615" s="4">
        <v>0</v>
      </c>
      <c r="K615" t="s">
        <v>48</v>
      </c>
      <c r="L615" s="4">
        <f t="shared" si="27"/>
        <v>47000</v>
      </c>
      <c r="M615" t="str">
        <f t="shared" si="28"/>
        <v>Within Budget</v>
      </c>
      <c r="N615">
        <f t="shared" ca="1" si="29"/>
        <v>486</v>
      </c>
    </row>
    <row r="616" spans="1:14" x14ac:dyDescent="0.25">
      <c r="A616" t="s">
        <v>62</v>
      </c>
      <c r="B616" t="s">
        <v>124</v>
      </c>
      <c r="C616" t="s">
        <v>113</v>
      </c>
      <c r="D616" t="s">
        <v>14</v>
      </c>
      <c r="E616" s="2">
        <v>45776</v>
      </c>
      <c r="F616" s="2">
        <v>45802</v>
      </c>
      <c r="G616" s="2"/>
      <c r="H616" s="3">
        <v>0</v>
      </c>
      <c r="I616" s="4">
        <v>39000</v>
      </c>
      <c r="J616" s="4">
        <v>0</v>
      </c>
      <c r="K616" t="s">
        <v>48</v>
      </c>
      <c r="L616" s="4">
        <f t="shared" si="27"/>
        <v>39000</v>
      </c>
      <c r="M616" t="str">
        <f t="shared" si="28"/>
        <v>Within Budget</v>
      </c>
      <c r="N616">
        <f t="shared" ca="1" si="29"/>
        <v>484</v>
      </c>
    </row>
    <row r="617" spans="1:14" x14ac:dyDescent="0.25">
      <c r="A617" t="s">
        <v>45</v>
      </c>
      <c r="B617" t="s">
        <v>116</v>
      </c>
      <c r="C617" t="s">
        <v>52</v>
      </c>
      <c r="D617" t="s">
        <v>23</v>
      </c>
      <c r="E617" s="2">
        <v>45423</v>
      </c>
      <c r="F617" s="2">
        <v>45444</v>
      </c>
      <c r="G617" s="2">
        <v>45462</v>
      </c>
      <c r="H617" s="3">
        <v>1</v>
      </c>
      <c r="I617" s="4">
        <v>46000</v>
      </c>
      <c r="J617" s="4">
        <v>44900</v>
      </c>
      <c r="K617" t="s">
        <v>15</v>
      </c>
      <c r="L617" s="4">
        <f t="shared" si="27"/>
        <v>1100</v>
      </c>
      <c r="M617" t="str">
        <f t="shared" si="28"/>
        <v>Within Budget</v>
      </c>
      <c r="N617">
        <f t="shared" ca="1" si="29"/>
        <v>18</v>
      </c>
    </row>
    <row r="618" spans="1:14" x14ac:dyDescent="0.25">
      <c r="A618" t="s">
        <v>33</v>
      </c>
      <c r="B618" t="s">
        <v>51</v>
      </c>
      <c r="C618" t="s">
        <v>111</v>
      </c>
      <c r="D618" t="s">
        <v>14</v>
      </c>
      <c r="E618" s="2">
        <v>45623</v>
      </c>
      <c r="F618" s="2">
        <v>45632</v>
      </c>
      <c r="G618" s="2"/>
      <c r="H618" s="3">
        <v>0.79</v>
      </c>
      <c r="I618" s="4">
        <v>4000</v>
      </c>
      <c r="J618" s="4">
        <v>2100</v>
      </c>
      <c r="K618" t="s">
        <v>19</v>
      </c>
      <c r="L618" s="4">
        <f t="shared" si="27"/>
        <v>1900</v>
      </c>
      <c r="M618" t="str">
        <f t="shared" si="28"/>
        <v>Within Budget</v>
      </c>
      <c r="N618">
        <f t="shared" ca="1" si="29"/>
        <v>654</v>
      </c>
    </row>
    <row r="619" spans="1:14" x14ac:dyDescent="0.25">
      <c r="A619" t="s">
        <v>118</v>
      </c>
      <c r="B619" t="s">
        <v>75</v>
      </c>
      <c r="C619" t="s">
        <v>31</v>
      </c>
      <c r="D619" t="s">
        <v>36</v>
      </c>
      <c r="E619" s="2">
        <v>45654</v>
      </c>
      <c r="F619" s="2">
        <v>45685</v>
      </c>
      <c r="G619" s="2"/>
      <c r="H619" s="3">
        <v>0.54</v>
      </c>
      <c r="I619" s="4">
        <v>97000</v>
      </c>
      <c r="J619" s="4">
        <v>91300</v>
      </c>
      <c r="K619" t="s">
        <v>19</v>
      </c>
      <c r="L619" s="4">
        <f t="shared" si="27"/>
        <v>5700</v>
      </c>
      <c r="M619" t="str">
        <f t="shared" si="28"/>
        <v>Within Budget</v>
      </c>
      <c r="N619">
        <f t="shared" ca="1" si="29"/>
        <v>601</v>
      </c>
    </row>
    <row r="620" spans="1:14" x14ac:dyDescent="0.25">
      <c r="A620" t="s">
        <v>29</v>
      </c>
      <c r="B620" t="s">
        <v>74</v>
      </c>
      <c r="C620" t="s">
        <v>60</v>
      </c>
      <c r="D620" t="s">
        <v>14</v>
      </c>
      <c r="E620" s="2">
        <v>45532</v>
      </c>
      <c r="F620" s="2">
        <v>45547</v>
      </c>
      <c r="G620" s="2">
        <v>45535</v>
      </c>
      <c r="H620" s="3">
        <v>0</v>
      </c>
      <c r="I620" s="4">
        <v>50000</v>
      </c>
      <c r="J620" s="4">
        <v>17600</v>
      </c>
      <c r="K620" t="s">
        <v>27</v>
      </c>
      <c r="L620" s="4">
        <f t="shared" si="27"/>
        <v>32400</v>
      </c>
      <c r="M620" t="str">
        <f t="shared" si="28"/>
        <v>Within Budget</v>
      </c>
      <c r="N620">
        <f t="shared" ca="1" si="29"/>
        <v>-12</v>
      </c>
    </row>
    <row r="621" spans="1:14" x14ac:dyDescent="0.25">
      <c r="A621" t="s">
        <v>16</v>
      </c>
      <c r="B621" t="s">
        <v>49</v>
      </c>
      <c r="C621" t="s">
        <v>31</v>
      </c>
      <c r="D621" t="s">
        <v>23</v>
      </c>
      <c r="E621" s="2">
        <v>45319</v>
      </c>
      <c r="F621" s="2">
        <v>45337</v>
      </c>
      <c r="G621" s="2">
        <v>45342</v>
      </c>
      <c r="H621" s="3">
        <v>1</v>
      </c>
      <c r="I621" s="4">
        <v>15000</v>
      </c>
      <c r="J621" s="4">
        <v>13100</v>
      </c>
      <c r="K621" t="s">
        <v>15</v>
      </c>
      <c r="L621" s="4">
        <f t="shared" si="27"/>
        <v>1900</v>
      </c>
      <c r="M621" t="str">
        <f t="shared" si="28"/>
        <v>Within Budget</v>
      </c>
      <c r="N621">
        <f t="shared" ca="1" si="29"/>
        <v>5</v>
      </c>
    </row>
    <row r="622" spans="1:14" x14ac:dyDescent="0.25">
      <c r="A622" t="s">
        <v>118</v>
      </c>
      <c r="B622" t="s">
        <v>74</v>
      </c>
      <c r="C622" t="s">
        <v>111</v>
      </c>
      <c r="D622" t="s">
        <v>36</v>
      </c>
      <c r="E622" s="2">
        <v>45689</v>
      </c>
      <c r="F622" s="2">
        <v>45721</v>
      </c>
      <c r="G622" s="2"/>
      <c r="H622" s="3">
        <v>0.56000000000000005</v>
      </c>
      <c r="I622" s="4">
        <v>45000</v>
      </c>
      <c r="J622" s="4">
        <v>28900</v>
      </c>
      <c r="K622" t="s">
        <v>65</v>
      </c>
      <c r="L622" s="4">
        <f t="shared" si="27"/>
        <v>16100</v>
      </c>
      <c r="M622" t="str">
        <f t="shared" si="28"/>
        <v>Within Budget</v>
      </c>
      <c r="N622">
        <f t="shared" ca="1" si="29"/>
        <v>565</v>
      </c>
    </row>
    <row r="623" spans="1:14" x14ac:dyDescent="0.25">
      <c r="A623" t="s">
        <v>45</v>
      </c>
      <c r="B623" t="s">
        <v>12</v>
      </c>
      <c r="C623" t="s">
        <v>112</v>
      </c>
      <c r="D623" t="s">
        <v>32</v>
      </c>
      <c r="E623" s="2">
        <v>45662</v>
      </c>
      <c r="F623" s="2">
        <v>45697</v>
      </c>
      <c r="G623" s="2">
        <v>45714</v>
      </c>
      <c r="H623" s="3">
        <v>1</v>
      </c>
      <c r="I623" s="4">
        <v>93000</v>
      </c>
      <c r="J623" s="4">
        <v>122700</v>
      </c>
      <c r="K623" t="s">
        <v>15</v>
      </c>
      <c r="L623" s="4">
        <f t="shared" si="27"/>
        <v>-29700</v>
      </c>
      <c r="M623" t="str">
        <f t="shared" si="28"/>
        <v>Over Budget</v>
      </c>
      <c r="N623">
        <f t="shared" ca="1" si="29"/>
        <v>17</v>
      </c>
    </row>
    <row r="624" spans="1:14" x14ac:dyDescent="0.25">
      <c r="A624" t="s">
        <v>104</v>
      </c>
      <c r="B624" t="s">
        <v>75</v>
      </c>
      <c r="C624" t="s">
        <v>47</v>
      </c>
      <c r="D624" t="s">
        <v>36</v>
      </c>
      <c r="E624" s="2">
        <v>45489</v>
      </c>
      <c r="F624" s="2">
        <v>45500</v>
      </c>
      <c r="G624" s="2">
        <v>45503</v>
      </c>
      <c r="H624" s="3">
        <v>1</v>
      </c>
      <c r="I624" s="4">
        <v>14000</v>
      </c>
      <c r="J624" s="4">
        <v>17600</v>
      </c>
      <c r="K624" t="s">
        <v>15</v>
      </c>
      <c r="L624" s="4">
        <f t="shared" si="27"/>
        <v>-3600</v>
      </c>
      <c r="M624" t="str">
        <f t="shared" si="28"/>
        <v>Over Budget</v>
      </c>
      <c r="N624">
        <f t="shared" ca="1" si="29"/>
        <v>3</v>
      </c>
    </row>
    <row r="625" spans="1:14" x14ac:dyDescent="0.25">
      <c r="A625" t="s">
        <v>33</v>
      </c>
      <c r="B625" t="s">
        <v>70</v>
      </c>
      <c r="C625" t="s">
        <v>67</v>
      </c>
      <c r="D625" t="s">
        <v>36</v>
      </c>
      <c r="E625" s="2">
        <v>45654</v>
      </c>
      <c r="F625" s="2">
        <v>45660</v>
      </c>
      <c r="G625" s="2"/>
      <c r="H625" s="3">
        <v>0.59</v>
      </c>
      <c r="I625" s="4">
        <v>8000</v>
      </c>
      <c r="J625" s="4">
        <v>7900</v>
      </c>
      <c r="K625" t="s">
        <v>19</v>
      </c>
      <c r="L625" s="4">
        <f t="shared" si="27"/>
        <v>100</v>
      </c>
      <c r="M625" t="str">
        <f t="shared" si="28"/>
        <v>Within Budget</v>
      </c>
      <c r="N625">
        <f t="shared" ca="1" si="29"/>
        <v>626</v>
      </c>
    </row>
    <row r="626" spans="1:14" x14ac:dyDescent="0.25">
      <c r="A626" t="s">
        <v>91</v>
      </c>
      <c r="B626" t="s">
        <v>90</v>
      </c>
      <c r="C626" t="s">
        <v>105</v>
      </c>
      <c r="D626" t="s">
        <v>14</v>
      </c>
      <c r="E626" s="2">
        <v>45490</v>
      </c>
      <c r="F626" s="2">
        <v>45508</v>
      </c>
      <c r="G626" s="2">
        <v>45514</v>
      </c>
      <c r="H626" s="3">
        <v>1</v>
      </c>
      <c r="I626" s="4">
        <v>49000</v>
      </c>
      <c r="J626" s="4">
        <v>64100</v>
      </c>
      <c r="K626" t="s">
        <v>15</v>
      </c>
      <c r="L626" s="4">
        <f t="shared" si="27"/>
        <v>-15100</v>
      </c>
      <c r="M626" t="str">
        <f t="shared" si="28"/>
        <v>Over Budget</v>
      </c>
      <c r="N626">
        <f t="shared" ca="1" si="29"/>
        <v>6</v>
      </c>
    </row>
    <row r="627" spans="1:14" x14ac:dyDescent="0.25">
      <c r="A627" t="s">
        <v>20</v>
      </c>
      <c r="B627" t="s">
        <v>116</v>
      </c>
      <c r="C627" t="s">
        <v>54</v>
      </c>
      <c r="D627" t="s">
        <v>14</v>
      </c>
      <c r="E627" s="2">
        <v>45649</v>
      </c>
      <c r="F627" s="2">
        <v>45668</v>
      </c>
      <c r="G627" s="2"/>
      <c r="H627" s="3">
        <v>0.28000000000000003</v>
      </c>
      <c r="I627" s="4">
        <v>13000</v>
      </c>
      <c r="J627" s="4">
        <v>10900</v>
      </c>
      <c r="K627" t="s">
        <v>19</v>
      </c>
      <c r="L627" s="4">
        <f t="shared" si="27"/>
        <v>2100</v>
      </c>
      <c r="M627" t="str">
        <f t="shared" si="28"/>
        <v>Within Budget</v>
      </c>
      <c r="N627">
        <f t="shared" ca="1" si="29"/>
        <v>618</v>
      </c>
    </row>
    <row r="628" spans="1:14" x14ac:dyDescent="0.25">
      <c r="A628" t="s">
        <v>79</v>
      </c>
      <c r="B628" t="s">
        <v>30</v>
      </c>
      <c r="C628" t="s">
        <v>105</v>
      </c>
      <c r="D628" t="s">
        <v>36</v>
      </c>
      <c r="E628" s="2">
        <v>45301</v>
      </c>
      <c r="F628" s="2">
        <v>45332</v>
      </c>
      <c r="G628" s="2">
        <v>45369</v>
      </c>
      <c r="H628" s="3">
        <v>1</v>
      </c>
      <c r="I628" s="4">
        <v>48000</v>
      </c>
      <c r="J628" s="4">
        <v>51100</v>
      </c>
      <c r="K628" t="s">
        <v>15</v>
      </c>
      <c r="L628" s="4">
        <f t="shared" si="27"/>
        <v>-3100</v>
      </c>
      <c r="M628" t="str">
        <f t="shared" si="28"/>
        <v>Over Budget</v>
      </c>
      <c r="N628">
        <f t="shared" ca="1" si="29"/>
        <v>37</v>
      </c>
    </row>
    <row r="629" spans="1:14" x14ac:dyDescent="0.25">
      <c r="A629" t="s">
        <v>77</v>
      </c>
      <c r="B629" t="s">
        <v>34</v>
      </c>
      <c r="C629" t="s">
        <v>60</v>
      </c>
      <c r="D629" t="s">
        <v>14</v>
      </c>
      <c r="E629" s="2">
        <v>45668</v>
      </c>
      <c r="F629" s="2">
        <v>45697</v>
      </c>
      <c r="G629" s="2"/>
      <c r="H629" s="3">
        <v>0.25</v>
      </c>
      <c r="I629" s="4">
        <v>20000</v>
      </c>
      <c r="J629" s="4">
        <v>25600</v>
      </c>
      <c r="K629" t="s">
        <v>19</v>
      </c>
      <c r="L629" s="4">
        <f t="shared" si="27"/>
        <v>-5600</v>
      </c>
      <c r="M629" t="str">
        <f t="shared" si="28"/>
        <v>Over Budget</v>
      </c>
      <c r="N629">
        <f t="shared" ca="1" si="29"/>
        <v>589</v>
      </c>
    </row>
    <row r="630" spans="1:14" x14ac:dyDescent="0.25">
      <c r="A630" t="s">
        <v>37</v>
      </c>
      <c r="B630" t="s">
        <v>122</v>
      </c>
      <c r="C630" t="s">
        <v>26</v>
      </c>
      <c r="D630" t="s">
        <v>36</v>
      </c>
      <c r="E630" s="2">
        <v>45354</v>
      </c>
      <c r="F630" s="2">
        <v>45393</v>
      </c>
      <c r="G630" s="2">
        <v>45433</v>
      </c>
      <c r="H630" s="3">
        <v>1</v>
      </c>
      <c r="I630" s="4">
        <v>47000</v>
      </c>
      <c r="J630" s="4">
        <v>50700</v>
      </c>
      <c r="K630" t="s">
        <v>15</v>
      </c>
      <c r="L630" s="4">
        <f t="shared" si="27"/>
        <v>-3700</v>
      </c>
      <c r="M630" t="str">
        <f t="shared" si="28"/>
        <v>Over Budget</v>
      </c>
      <c r="N630">
        <f t="shared" ca="1" si="29"/>
        <v>40</v>
      </c>
    </row>
    <row r="631" spans="1:14" x14ac:dyDescent="0.25">
      <c r="A631" t="s">
        <v>62</v>
      </c>
      <c r="B631" t="s">
        <v>80</v>
      </c>
      <c r="C631" t="s">
        <v>31</v>
      </c>
      <c r="D631" t="s">
        <v>36</v>
      </c>
      <c r="E631" s="2">
        <v>45522</v>
      </c>
      <c r="F631" s="2">
        <v>45532</v>
      </c>
      <c r="G631" s="2">
        <v>45524</v>
      </c>
      <c r="H631" s="3">
        <v>0.2</v>
      </c>
      <c r="I631" s="4">
        <v>10000</v>
      </c>
      <c r="J631" s="4">
        <v>2200</v>
      </c>
      <c r="K631" t="s">
        <v>27</v>
      </c>
      <c r="L631" s="4">
        <f t="shared" si="27"/>
        <v>7800</v>
      </c>
      <c r="M631" t="str">
        <f t="shared" si="28"/>
        <v>Within Budget</v>
      </c>
      <c r="N631">
        <f t="shared" ca="1" si="29"/>
        <v>-8</v>
      </c>
    </row>
    <row r="632" spans="1:14" x14ac:dyDescent="0.25">
      <c r="A632" t="s">
        <v>24</v>
      </c>
      <c r="B632" t="s">
        <v>102</v>
      </c>
      <c r="C632" t="s">
        <v>60</v>
      </c>
      <c r="D632" t="s">
        <v>14</v>
      </c>
      <c r="E632" s="2">
        <v>45705</v>
      </c>
      <c r="F632" s="2">
        <v>45712</v>
      </c>
      <c r="G632" s="2">
        <v>45733</v>
      </c>
      <c r="H632" s="3">
        <v>1</v>
      </c>
      <c r="I632" s="4">
        <v>8000</v>
      </c>
      <c r="J632" s="4">
        <v>6900</v>
      </c>
      <c r="K632" t="s">
        <v>15</v>
      </c>
      <c r="L632" s="4">
        <f t="shared" si="27"/>
        <v>1100</v>
      </c>
      <c r="M632" t="str">
        <f t="shared" si="28"/>
        <v>Within Budget</v>
      </c>
      <c r="N632">
        <f t="shared" ca="1" si="29"/>
        <v>21</v>
      </c>
    </row>
    <row r="633" spans="1:14" x14ac:dyDescent="0.25">
      <c r="A633" t="s">
        <v>42</v>
      </c>
      <c r="B633" t="s">
        <v>58</v>
      </c>
      <c r="C633" t="s">
        <v>87</v>
      </c>
      <c r="D633" t="s">
        <v>23</v>
      </c>
      <c r="E633" s="2">
        <v>45799</v>
      </c>
      <c r="F633" s="2">
        <v>45815</v>
      </c>
      <c r="G633" s="2"/>
      <c r="H633" s="3">
        <v>0.34</v>
      </c>
      <c r="I633" s="4">
        <v>34000</v>
      </c>
      <c r="J633" s="4">
        <v>12200</v>
      </c>
      <c r="K633" t="s">
        <v>65</v>
      </c>
      <c r="L633" s="4">
        <f t="shared" si="27"/>
        <v>21800</v>
      </c>
      <c r="M633" t="str">
        <f t="shared" si="28"/>
        <v>Within Budget</v>
      </c>
      <c r="N633">
        <f t="shared" ca="1" si="29"/>
        <v>471</v>
      </c>
    </row>
    <row r="634" spans="1:14" x14ac:dyDescent="0.25">
      <c r="A634" t="s">
        <v>45</v>
      </c>
      <c r="B634" t="s">
        <v>122</v>
      </c>
      <c r="C634" t="s">
        <v>18</v>
      </c>
      <c r="D634" t="s">
        <v>23</v>
      </c>
      <c r="E634" s="2">
        <v>45377</v>
      </c>
      <c r="F634" s="2">
        <v>45410</v>
      </c>
      <c r="G634" s="2">
        <v>45413</v>
      </c>
      <c r="H634" s="3">
        <v>1</v>
      </c>
      <c r="I634" s="4">
        <v>49000</v>
      </c>
      <c r="J634" s="4">
        <v>59800</v>
      </c>
      <c r="K634" t="s">
        <v>15</v>
      </c>
      <c r="L634" s="4">
        <f t="shared" si="27"/>
        <v>-10800</v>
      </c>
      <c r="M634" t="str">
        <f t="shared" si="28"/>
        <v>Over Budget</v>
      </c>
      <c r="N634">
        <f t="shared" ca="1" si="29"/>
        <v>3</v>
      </c>
    </row>
    <row r="635" spans="1:14" x14ac:dyDescent="0.25">
      <c r="A635" t="s">
        <v>72</v>
      </c>
      <c r="B635" t="s">
        <v>124</v>
      </c>
      <c r="C635" t="s">
        <v>61</v>
      </c>
      <c r="D635" t="s">
        <v>14</v>
      </c>
      <c r="E635" s="2">
        <v>45484</v>
      </c>
      <c r="F635" s="2">
        <v>45520</v>
      </c>
      <c r="G635" s="2">
        <v>45520</v>
      </c>
      <c r="H635" s="3">
        <v>1</v>
      </c>
      <c r="I635" s="4">
        <v>72000</v>
      </c>
      <c r="J635" s="4">
        <v>77500</v>
      </c>
      <c r="K635" t="s">
        <v>15</v>
      </c>
      <c r="L635" s="4">
        <f t="shared" si="27"/>
        <v>-5500</v>
      </c>
      <c r="M635" t="str">
        <f t="shared" si="28"/>
        <v>Over Budget</v>
      </c>
      <c r="N635">
        <f t="shared" ca="1" si="29"/>
        <v>0</v>
      </c>
    </row>
    <row r="636" spans="1:14" x14ac:dyDescent="0.25">
      <c r="A636" t="s">
        <v>99</v>
      </c>
      <c r="B636" t="s">
        <v>76</v>
      </c>
      <c r="C636" t="s">
        <v>61</v>
      </c>
      <c r="D636" t="s">
        <v>14</v>
      </c>
      <c r="E636" s="2">
        <v>45311</v>
      </c>
      <c r="F636" s="2">
        <v>45342</v>
      </c>
      <c r="G636" s="2"/>
      <c r="H636" s="3">
        <v>0.42</v>
      </c>
      <c r="I636" s="4">
        <v>31000</v>
      </c>
      <c r="J636" s="4">
        <v>38800</v>
      </c>
      <c r="K636" t="s">
        <v>19</v>
      </c>
      <c r="L636" s="4">
        <f t="shared" si="27"/>
        <v>-7800</v>
      </c>
      <c r="M636" t="str">
        <f t="shared" si="28"/>
        <v>Over Budget</v>
      </c>
      <c r="N636">
        <f t="shared" ca="1" si="29"/>
        <v>944</v>
      </c>
    </row>
    <row r="637" spans="1:14" x14ac:dyDescent="0.25">
      <c r="A637" t="s">
        <v>72</v>
      </c>
      <c r="B637" t="s">
        <v>75</v>
      </c>
      <c r="C637" t="s">
        <v>61</v>
      </c>
      <c r="D637" t="s">
        <v>32</v>
      </c>
      <c r="E637" s="2">
        <v>45521</v>
      </c>
      <c r="F637" s="2">
        <v>45539</v>
      </c>
      <c r="G637" s="2"/>
      <c r="H637" s="3">
        <v>0.75</v>
      </c>
      <c r="I637" s="4">
        <v>44000</v>
      </c>
      <c r="J637" s="4">
        <v>24900</v>
      </c>
      <c r="K637" t="s">
        <v>19</v>
      </c>
      <c r="L637" s="4">
        <f t="shared" si="27"/>
        <v>19100</v>
      </c>
      <c r="M637" t="str">
        <f t="shared" si="28"/>
        <v>Within Budget</v>
      </c>
      <c r="N637">
        <f t="shared" ca="1" si="29"/>
        <v>747</v>
      </c>
    </row>
    <row r="638" spans="1:14" x14ac:dyDescent="0.25">
      <c r="A638" t="s">
        <v>11</v>
      </c>
      <c r="B638" t="s">
        <v>90</v>
      </c>
      <c r="C638" t="s">
        <v>97</v>
      </c>
      <c r="D638" t="s">
        <v>14</v>
      </c>
      <c r="E638" s="2">
        <v>45711</v>
      </c>
      <c r="F638" s="2">
        <v>45738</v>
      </c>
      <c r="G638" s="2"/>
      <c r="H638" s="3">
        <v>0.53</v>
      </c>
      <c r="I638" s="4">
        <v>10000</v>
      </c>
      <c r="J638" s="4">
        <v>7200</v>
      </c>
      <c r="K638" t="s">
        <v>19</v>
      </c>
      <c r="L638" s="4">
        <f t="shared" si="27"/>
        <v>2800</v>
      </c>
      <c r="M638" t="str">
        <f t="shared" si="28"/>
        <v>Within Budget</v>
      </c>
      <c r="N638">
        <f t="shared" ca="1" si="29"/>
        <v>548</v>
      </c>
    </row>
    <row r="639" spans="1:14" x14ac:dyDescent="0.25">
      <c r="A639" t="s">
        <v>77</v>
      </c>
      <c r="B639" t="s">
        <v>78</v>
      </c>
      <c r="C639" t="s">
        <v>52</v>
      </c>
      <c r="D639" t="s">
        <v>14</v>
      </c>
      <c r="E639" s="2">
        <v>45636</v>
      </c>
      <c r="F639" s="2">
        <v>45647</v>
      </c>
      <c r="G639" s="2">
        <v>45638</v>
      </c>
      <c r="H639" s="3">
        <v>1</v>
      </c>
      <c r="I639" s="4">
        <v>12000</v>
      </c>
      <c r="J639" s="4">
        <v>12000</v>
      </c>
      <c r="K639" t="s">
        <v>15</v>
      </c>
      <c r="L639" s="4">
        <f t="shared" si="27"/>
        <v>0</v>
      </c>
      <c r="M639" t="str">
        <f t="shared" si="28"/>
        <v>Within Budget</v>
      </c>
      <c r="N639">
        <f t="shared" ca="1" si="29"/>
        <v>-9</v>
      </c>
    </row>
    <row r="640" spans="1:14" x14ac:dyDescent="0.25">
      <c r="A640" t="s">
        <v>20</v>
      </c>
      <c r="B640" t="s">
        <v>17</v>
      </c>
      <c r="C640" t="s">
        <v>47</v>
      </c>
      <c r="D640" t="s">
        <v>36</v>
      </c>
      <c r="E640" s="2">
        <v>45732</v>
      </c>
      <c r="F640" s="2">
        <v>45765</v>
      </c>
      <c r="G640" s="2"/>
      <c r="H640" s="3">
        <v>0</v>
      </c>
      <c r="I640" s="4">
        <v>74000</v>
      </c>
      <c r="J640" s="4">
        <v>0</v>
      </c>
      <c r="K640" t="s">
        <v>48</v>
      </c>
      <c r="L640" s="4">
        <f t="shared" si="27"/>
        <v>74000</v>
      </c>
      <c r="M640" t="str">
        <f t="shared" si="28"/>
        <v>Within Budget</v>
      </c>
      <c r="N640">
        <f t="shared" ca="1" si="29"/>
        <v>521</v>
      </c>
    </row>
    <row r="641" spans="1:14" x14ac:dyDescent="0.25">
      <c r="A641" t="s">
        <v>118</v>
      </c>
      <c r="B641" t="s">
        <v>56</v>
      </c>
      <c r="C641" t="s">
        <v>67</v>
      </c>
      <c r="D641" t="s">
        <v>14</v>
      </c>
      <c r="E641" s="2">
        <v>45516</v>
      </c>
      <c r="F641" s="2">
        <v>45549</v>
      </c>
      <c r="G641" s="2">
        <v>45549</v>
      </c>
      <c r="H641" s="3">
        <v>1</v>
      </c>
      <c r="I641" s="4">
        <v>84000</v>
      </c>
      <c r="J641" s="4">
        <v>106600</v>
      </c>
      <c r="K641" t="s">
        <v>15</v>
      </c>
      <c r="L641" s="4">
        <f t="shared" si="27"/>
        <v>-22600</v>
      </c>
      <c r="M641" t="str">
        <f t="shared" si="28"/>
        <v>Over Budget</v>
      </c>
      <c r="N641">
        <f t="shared" ca="1" si="29"/>
        <v>0</v>
      </c>
    </row>
    <row r="642" spans="1:14" x14ac:dyDescent="0.25">
      <c r="A642" t="s">
        <v>33</v>
      </c>
      <c r="B642" t="s">
        <v>69</v>
      </c>
      <c r="C642" t="s">
        <v>67</v>
      </c>
      <c r="D642" t="s">
        <v>36</v>
      </c>
      <c r="E642" s="2">
        <v>45446</v>
      </c>
      <c r="F642" s="2">
        <v>45480</v>
      </c>
      <c r="G642" s="2"/>
      <c r="H642" s="3">
        <v>0.25</v>
      </c>
      <c r="I642" s="4">
        <v>62000</v>
      </c>
      <c r="J642" s="4">
        <v>47900</v>
      </c>
      <c r="K642" t="s">
        <v>19</v>
      </c>
      <c r="L642" s="4">
        <f t="shared" si="27"/>
        <v>14100</v>
      </c>
      <c r="M642" t="str">
        <f t="shared" si="28"/>
        <v>Within Budget</v>
      </c>
      <c r="N642">
        <f t="shared" ca="1" si="29"/>
        <v>806</v>
      </c>
    </row>
    <row r="643" spans="1:14" x14ac:dyDescent="0.25">
      <c r="A643" t="s">
        <v>33</v>
      </c>
      <c r="B643" t="s">
        <v>82</v>
      </c>
      <c r="C643" t="s">
        <v>61</v>
      </c>
      <c r="D643" t="s">
        <v>32</v>
      </c>
      <c r="E643" s="2">
        <v>45345</v>
      </c>
      <c r="F643" s="2">
        <v>45379</v>
      </c>
      <c r="G643" s="2">
        <v>45400</v>
      </c>
      <c r="H643" s="3">
        <v>1</v>
      </c>
      <c r="I643" s="4">
        <v>85000</v>
      </c>
      <c r="J643" s="4">
        <v>91600</v>
      </c>
      <c r="K643" t="s">
        <v>15</v>
      </c>
      <c r="L643" s="4">
        <f t="shared" ref="L643:L706" si="30">I643-J643</f>
        <v>-6600</v>
      </c>
      <c r="M643" t="str">
        <f t="shared" ref="M643:M706" si="31">IF(L643&lt;0, "Over Budget", "Within Budget")</f>
        <v>Over Budget</v>
      </c>
      <c r="N643">
        <f t="shared" ref="N643:N706" ca="1" si="32">IF(G643="",TODAY()-F643,G643-F643)</f>
        <v>21</v>
      </c>
    </row>
    <row r="644" spans="1:14" x14ac:dyDescent="0.25">
      <c r="A644" t="s">
        <v>83</v>
      </c>
      <c r="B644" t="s">
        <v>102</v>
      </c>
      <c r="C644" t="s">
        <v>35</v>
      </c>
      <c r="D644" t="s">
        <v>14</v>
      </c>
      <c r="E644" s="2">
        <v>45698</v>
      </c>
      <c r="F644" s="2">
        <v>45707</v>
      </c>
      <c r="G644" s="2"/>
      <c r="H644" s="3">
        <v>0.46</v>
      </c>
      <c r="I644" s="4">
        <v>2000</v>
      </c>
      <c r="J644" s="4">
        <v>900</v>
      </c>
      <c r="K644" t="s">
        <v>65</v>
      </c>
      <c r="L644" s="4">
        <f t="shared" si="30"/>
        <v>1100</v>
      </c>
      <c r="M644" t="str">
        <f t="shared" si="31"/>
        <v>Within Budget</v>
      </c>
      <c r="N644">
        <f t="shared" ca="1" si="32"/>
        <v>579</v>
      </c>
    </row>
    <row r="645" spans="1:14" x14ac:dyDescent="0.25">
      <c r="A645" t="s">
        <v>91</v>
      </c>
      <c r="B645" t="s">
        <v>84</v>
      </c>
      <c r="C645" t="s">
        <v>106</v>
      </c>
      <c r="D645" t="s">
        <v>14</v>
      </c>
      <c r="E645" s="2">
        <v>45495</v>
      </c>
      <c r="F645" s="2">
        <v>45515</v>
      </c>
      <c r="G645" s="2">
        <v>45529</v>
      </c>
      <c r="H645" s="3">
        <v>1</v>
      </c>
      <c r="I645" s="4">
        <v>21000</v>
      </c>
      <c r="J645" s="4">
        <v>24400</v>
      </c>
      <c r="K645" t="s">
        <v>15</v>
      </c>
      <c r="L645" s="4">
        <f t="shared" si="30"/>
        <v>-3400</v>
      </c>
      <c r="M645" t="str">
        <f t="shared" si="31"/>
        <v>Over Budget</v>
      </c>
      <c r="N645">
        <f t="shared" ca="1" si="32"/>
        <v>14</v>
      </c>
    </row>
    <row r="646" spans="1:14" x14ac:dyDescent="0.25">
      <c r="A646" t="s">
        <v>81</v>
      </c>
      <c r="B646" t="s">
        <v>110</v>
      </c>
      <c r="C646" t="s">
        <v>67</v>
      </c>
      <c r="D646" t="s">
        <v>36</v>
      </c>
      <c r="E646" s="2">
        <v>45504</v>
      </c>
      <c r="F646" s="2">
        <v>45529</v>
      </c>
      <c r="G646" s="2">
        <v>45537</v>
      </c>
      <c r="H646" s="3">
        <v>1</v>
      </c>
      <c r="I646" s="4">
        <v>26000</v>
      </c>
      <c r="J646" s="4">
        <v>25100</v>
      </c>
      <c r="K646" t="s">
        <v>15</v>
      </c>
      <c r="L646" s="4">
        <f t="shared" si="30"/>
        <v>900</v>
      </c>
      <c r="M646" t="str">
        <f t="shared" si="31"/>
        <v>Within Budget</v>
      </c>
      <c r="N646">
        <f t="shared" ca="1" si="32"/>
        <v>8</v>
      </c>
    </row>
    <row r="647" spans="1:14" x14ac:dyDescent="0.25">
      <c r="A647" t="s">
        <v>57</v>
      </c>
      <c r="B647" t="s">
        <v>76</v>
      </c>
      <c r="C647" t="s">
        <v>52</v>
      </c>
      <c r="D647" t="s">
        <v>36</v>
      </c>
      <c r="E647" s="2">
        <v>45588</v>
      </c>
      <c r="F647" s="2">
        <v>45598</v>
      </c>
      <c r="G647" s="2">
        <v>45622</v>
      </c>
      <c r="H647" s="3">
        <v>1</v>
      </c>
      <c r="I647" s="4">
        <v>7000</v>
      </c>
      <c r="J647" s="4">
        <v>8000</v>
      </c>
      <c r="K647" t="s">
        <v>15</v>
      </c>
      <c r="L647" s="4">
        <f t="shared" si="30"/>
        <v>-1000</v>
      </c>
      <c r="M647" t="str">
        <f t="shared" si="31"/>
        <v>Over Budget</v>
      </c>
      <c r="N647">
        <f t="shared" ca="1" si="32"/>
        <v>24</v>
      </c>
    </row>
    <row r="648" spans="1:14" x14ac:dyDescent="0.25">
      <c r="A648" t="s">
        <v>42</v>
      </c>
      <c r="B648" t="s">
        <v>101</v>
      </c>
      <c r="C648" t="s">
        <v>97</v>
      </c>
      <c r="D648" t="s">
        <v>36</v>
      </c>
      <c r="E648" s="2">
        <v>45467</v>
      </c>
      <c r="F648" s="2">
        <v>45477</v>
      </c>
      <c r="G648" s="2">
        <v>45514</v>
      </c>
      <c r="H648" s="3">
        <v>1</v>
      </c>
      <c r="I648" s="4">
        <v>4000</v>
      </c>
      <c r="J648" s="4">
        <v>5100</v>
      </c>
      <c r="K648" t="s">
        <v>15</v>
      </c>
      <c r="L648" s="4">
        <f t="shared" si="30"/>
        <v>-1100</v>
      </c>
      <c r="M648" t="str">
        <f t="shared" si="31"/>
        <v>Over Budget</v>
      </c>
      <c r="N648">
        <f t="shared" ca="1" si="32"/>
        <v>37</v>
      </c>
    </row>
    <row r="649" spans="1:14" x14ac:dyDescent="0.25">
      <c r="A649" t="s">
        <v>16</v>
      </c>
      <c r="B649" t="s">
        <v>98</v>
      </c>
      <c r="C649" t="s">
        <v>47</v>
      </c>
      <c r="D649" t="s">
        <v>14</v>
      </c>
      <c r="E649" s="2">
        <v>45321</v>
      </c>
      <c r="F649" s="2">
        <v>45348</v>
      </c>
      <c r="G649" s="2">
        <v>45324</v>
      </c>
      <c r="H649" s="3">
        <v>0.2</v>
      </c>
      <c r="I649" s="4">
        <v>13000</v>
      </c>
      <c r="J649" s="4">
        <v>3700</v>
      </c>
      <c r="K649" t="s">
        <v>27</v>
      </c>
      <c r="L649" s="4">
        <f t="shared" si="30"/>
        <v>9300</v>
      </c>
      <c r="M649" t="str">
        <f t="shared" si="31"/>
        <v>Within Budget</v>
      </c>
      <c r="N649">
        <f t="shared" ca="1" si="32"/>
        <v>-24</v>
      </c>
    </row>
    <row r="650" spans="1:14" x14ac:dyDescent="0.25">
      <c r="A650" t="s">
        <v>121</v>
      </c>
      <c r="B650" t="s">
        <v>30</v>
      </c>
      <c r="C650" t="s">
        <v>47</v>
      </c>
      <c r="D650" t="s">
        <v>32</v>
      </c>
      <c r="E650" s="2">
        <v>45722</v>
      </c>
      <c r="F650" s="2">
        <v>45731</v>
      </c>
      <c r="G650" s="2"/>
      <c r="H650" s="3">
        <v>0.42</v>
      </c>
      <c r="I650" s="4">
        <v>5000</v>
      </c>
      <c r="J650" s="4">
        <v>2100</v>
      </c>
      <c r="K650" t="s">
        <v>94</v>
      </c>
      <c r="L650" s="4">
        <f t="shared" si="30"/>
        <v>2900</v>
      </c>
      <c r="M650" t="str">
        <f t="shared" si="31"/>
        <v>Within Budget</v>
      </c>
      <c r="N650">
        <f t="shared" ca="1" si="32"/>
        <v>555</v>
      </c>
    </row>
    <row r="651" spans="1:14" x14ac:dyDescent="0.25">
      <c r="A651" t="s">
        <v>109</v>
      </c>
      <c r="B651" t="s">
        <v>51</v>
      </c>
      <c r="C651" t="s">
        <v>60</v>
      </c>
      <c r="D651" t="s">
        <v>14</v>
      </c>
      <c r="E651" s="2">
        <v>45735</v>
      </c>
      <c r="F651" s="2">
        <v>45751</v>
      </c>
      <c r="G651" s="2"/>
      <c r="H651" s="3">
        <v>0</v>
      </c>
      <c r="I651" s="4">
        <v>30000</v>
      </c>
      <c r="J651" s="4">
        <v>0</v>
      </c>
      <c r="K651" t="s">
        <v>48</v>
      </c>
      <c r="L651" s="4">
        <f t="shared" si="30"/>
        <v>30000</v>
      </c>
      <c r="M651" t="str">
        <f t="shared" si="31"/>
        <v>Within Budget</v>
      </c>
      <c r="N651">
        <f t="shared" ca="1" si="32"/>
        <v>535</v>
      </c>
    </row>
    <row r="652" spans="1:14" x14ac:dyDescent="0.25">
      <c r="A652" t="s">
        <v>121</v>
      </c>
      <c r="B652" t="s">
        <v>114</v>
      </c>
      <c r="C652" t="s">
        <v>106</v>
      </c>
      <c r="D652" t="s">
        <v>23</v>
      </c>
      <c r="E652" s="2">
        <v>45299</v>
      </c>
      <c r="F652" s="2">
        <v>45311</v>
      </c>
      <c r="G652" s="2">
        <v>45356</v>
      </c>
      <c r="H652" s="3">
        <v>1</v>
      </c>
      <c r="I652" s="4">
        <v>32000</v>
      </c>
      <c r="J652" s="4">
        <v>36800</v>
      </c>
      <c r="K652" t="s">
        <v>15</v>
      </c>
      <c r="L652" s="4">
        <f t="shared" si="30"/>
        <v>-4800</v>
      </c>
      <c r="M652" t="str">
        <f t="shared" si="31"/>
        <v>Over Budget</v>
      </c>
      <c r="N652">
        <f t="shared" ca="1" si="32"/>
        <v>45</v>
      </c>
    </row>
    <row r="653" spans="1:14" x14ac:dyDescent="0.25">
      <c r="A653" t="s">
        <v>79</v>
      </c>
      <c r="B653" t="s">
        <v>78</v>
      </c>
      <c r="C653" t="s">
        <v>18</v>
      </c>
      <c r="D653" t="s">
        <v>36</v>
      </c>
      <c r="E653" s="2">
        <v>45790</v>
      </c>
      <c r="F653" s="2">
        <v>45824</v>
      </c>
      <c r="G653" s="2"/>
      <c r="H653" s="3">
        <v>0</v>
      </c>
      <c r="I653" s="4">
        <v>71000</v>
      </c>
      <c r="J653" s="4">
        <v>0</v>
      </c>
      <c r="K653" t="s">
        <v>48</v>
      </c>
      <c r="L653" s="4">
        <f t="shared" si="30"/>
        <v>71000</v>
      </c>
      <c r="M653" t="str">
        <f t="shared" si="31"/>
        <v>Within Budget</v>
      </c>
      <c r="N653">
        <f t="shared" ca="1" si="32"/>
        <v>462</v>
      </c>
    </row>
    <row r="654" spans="1:14" x14ac:dyDescent="0.25">
      <c r="A654" t="s">
        <v>57</v>
      </c>
      <c r="B654" t="s">
        <v>17</v>
      </c>
      <c r="C654" t="s">
        <v>35</v>
      </c>
      <c r="D654" t="s">
        <v>23</v>
      </c>
      <c r="E654" s="2">
        <v>45352</v>
      </c>
      <c r="F654" s="2">
        <v>45364</v>
      </c>
      <c r="G654" s="2">
        <v>45365</v>
      </c>
      <c r="H654" s="3">
        <v>1</v>
      </c>
      <c r="I654" s="4">
        <v>48000</v>
      </c>
      <c r="J654" s="4">
        <v>59600</v>
      </c>
      <c r="K654" t="s">
        <v>15</v>
      </c>
      <c r="L654" s="4">
        <f t="shared" si="30"/>
        <v>-11600</v>
      </c>
      <c r="M654" t="str">
        <f t="shared" si="31"/>
        <v>Over Budget</v>
      </c>
      <c r="N654">
        <f t="shared" ca="1" si="32"/>
        <v>1</v>
      </c>
    </row>
    <row r="655" spans="1:14" x14ac:dyDescent="0.25">
      <c r="A655" t="s">
        <v>68</v>
      </c>
      <c r="B655" t="s">
        <v>108</v>
      </c>
      <c r="C655" t="s">
        <v>52</v>
      </c>
      <c r="D655" t="s">
        <v>36</v>
      </c>
      <c r="E655" s="2">
        <v>45441</v>
      </c>
      <c r="F655" s="2">
        <v>45469</v>
      </c>
      <c r="G655" s="2">
        <v>45470</v>
      </c>
      <c r="H655" s="3">
        <v>1</v>
      </c>
      <c r="I655" s="4">
        <v>40000</v>
      </c>
      <c r="J655" s="4">
        <v>44600</v>
      </c>
      <c r="K655" t="s">
        <v>15</v>
      </c>
      <c r="L655" s="4">
        <f t="shared" si="30"/>
        <v>-4600</v>
      </c>
      <c r="M655" t="str">
        <f t="shared" si="31"/>
        <v>Over Budget</v>
      </c>
      <c r="N655">
        <f t="shared" ca="1" si="32"/>
        <v>1</v>
      </c>
    </row>
    <row r="656" spans="1:14" x14ac:dyDescent="0.25">
      <c r="A656" t="s">
        <v>121</v>
      </c>
      <c r="B656" t="s">
        <v>82</v>
      </c>
      <c r="C656" t="s">
        <v>31</v>
      </c>
      <c r="D656" t="s">
        <v>14</v>
      </c>
      <c r="E656" s="2">
        <v>45826</v>
      </c>
      <c r="F656" s="2">
        <v>45837</v>
      </c>
      <c r="G656" s="2"/>
      <c r="H656" s="3">
        <v>0</v>
      </c>
      <c r="I656" s="4">
        <v>21000</v>
      </c>
      <c r="J656" s="4">
        <v>0</v>
      </c>
      <c r="K656" t="s">
        <v>48</v>
      </c>
      <c r="L656" s="4">
        <f t="shared" si="30"/>
        <v>21000</v>
      </c>
      <c r="M656" t="str">
        <f t="shared" si="31"/>
        <v>Within Budget</v>
      </c>
      <c r="N656">
        <f t="shared" ca="1" si="32"/>
        <v>449</v>
      </c>
    </row>
    <row r="657" spans="1:14" x14ac:dyDescent="0.25">
      <c r="A657" t="s">
        <v>103</v>
      </c>
      <c r="B657" t="s">
        <v>43</v>
      </c>
      <c r="C657" t="s">
        <v>28</v>
      </c>
      <c r="D657" t="s">
        <v>14</v>
      </c>
      <c r="E657" s="2">
        <v>45318</v>
      </c>
      <c r="F657" s="2">
        <v>45362</v>
      </c>
      <c r="G657" s="2"/>
      <c r="H657" s="3">
        <v>0.77</v>
      </c>
      <c r="I657" s="4">
        <v>79000</v>
      </c>
      <c r="J657" s="4">
        <v>96800</v>
      </c>
      <c r="K657" t="s">
        <v>19</v>
      </c>
      <c r="L657" s="4">
        <f t="shared" si="30"/>
        <v>-17800</v>
      </c>
      <c r="M657" t="str">
        <f t="shared" si="31"/>
        <v>Over Budget</v>
      </c>
      <c r="N657">
        <f t="shared" ca="1" si="32"/>
        <v>924</v>
      </c>
    </row>
    <row r="658" spans="1:14" x14ac:dyDescent="0.25">
      <c r="A658" t="s">
        <v>62</v>
      </c>
      <c r="B658" t="s">
        <v>17</v>
      </c>
      <c r="C658" t="s">
        <v>111</v>
      </c>
      <c r="D658" t="s">
        <v>23</v>
      </c>
      <c r="E658" s="2">
        <v>45364</v>
      </c>
      <c r="F658" s="2">
        <v>45372</v>
      </c>
      <c r="G658" s="2">
        <v>45371</v>
      </c>
      <c r="H658" s="3">
        <v>1</v>
      </c>
      <c r="I658" s="4">
        <v>11000</v>
      </c>
      <c r="J658" s="4">
        <v>13600</v>
      </c>
      <c r="K658" t="s">
        <v>15</v>
      </c>
      <c r="L658" s="4">
        <f t="shared" si="30"/>
        <v>-2600</v>
      </c>
      <c r="M658" t="str">
        <f t="shared" si="31"/>
        <v>Over Budget</v>
      </c>
      <c r="N658">
        <f t="shared" ca="1" si="32"/>
        <v>-1</v>
      </c>
    </row>
    <row r="659" spans="1:14" x14ac:dyDescent="0.25">
      <c r="A659" t="s">
        <v>24</v>
      </c>
      <c r="B659" t="s">
        <v>82</v>
      </c>
      <c r="C659" t="s">
        <v>67</v>
      </c>
      <c r="D659" t="s">
        <v>32</v>
      </c>
      <c r="E659" s="2">
        <v>45324</v>
      </c>
      <c r="F659" s="2">
        <v>45333</v>
      </c>
      <c r="G659" s="2"/>
      <c r="H659" s="3">
        <v>0.59</v>
      </c>
      <c r="I659" s="4">
        <v>13000</v>
      </c>
      <c r="J659" s="4">
        <v>8300</v>
      </c>
      <c r="K659" t="s">
        <v>19</v>
      </c>
      <c r="L659" s="4">
        <f t="shared" si="30"/>
        <v>4700</v>
      </c>
      <c r="M659" t="str">
        <f t="shared" si="31"/>
        <v>Within Budget</v>
      </c>
      <c r="N659">
        <f t="shared" ca="1" si="32"/>
        <v>953</v>
      </c>
    </row>
    <row r="660" spans="1:14" x14ac:dyDescent="0.25">
      <c r="A660" t="s">
        <v>50</v>
      </c>
      <c r="B660" t="s">
        <v>76</v>
      </c>
      <c r="C660" t="s">
        <v>13</v>
      </c>
      <c r="D660" t="s">
        <v>36</v>
      </c>
      <c r="E660" s="2">
        <v>45562</v>
      </c>
      <c r="F660" s="2">
        <v>45578</v>
      </c>
      <c r="G660" s="2"/>
      <c r="H660" s="3">
        <v>0.23</v>
      </c>
      <c r="I660" s="4">
        <v>36000</v>
      </c>
      <c r="J660" s="4">
        <v>21400</v>
      </c>
      <c r="K660" t="s">
        <v>19</v>
      </c>
      <c r="L660" s="4">
        <f t="shared" si="30"/>
        <v>14600</v>
      </c>
      <c r="M660" t="str">
        <f t="shared" si="31"/>
        <v>Within Budget</v>
      </c>
      <c r="N660">
        <f t="shared" ca="1" si="32"/>
        <v>708</v>
      </c>
    </row>
    <row r="661" spans="1:14" x14ac:dyDescent="0.25">
      <c r="A661" t="s">
        <v>118</v>
      </c>
      <c r="B661" t="s">
        <v>85</v>
      </c>
      <c r="C661" t="s">
        <v>61</v>
      </c>
      <c r="D661" t="s">
        <v>14</v>
      </c>
      <c r="E661" s="2">
        <v>45690</v>
      </c>
      <c r="F661" s="2">
        <v>45699</v>
      </c>
      <c r="G661" s="2"/>
      <c r="H661" s="3">
        <v>0.14000000000000001</v>
      </c>
      <c r="I661" s="4">
        <v>9000</v>
      </c>
      <c r="J661" s="4">
        <v>5200</v>
      </c>
      <c r="K661" t="s">
        <v>94</v>
      </c>
      <c r="L661" s="4">
        <f t="shared" si="30"/>
        <v>3800</v>
      </c>
      <c r="M661" t="str">
        <f t="shared" si="31"/>
        <v>Within Budget</v>
      </c>
      <c r="N661">
        <f t="shared" ca="1" si="32"/>
        <v>587</v>
      </c>
    </row>
    <row r="662" spans="1:14" x14ac:dyDescent="0.25">
      <c r="A662" t="s">
        <v>83</v>
      </c>
      <c r="B662" t="s">
        <v>96</v>
      </c>
      <c r="C662" t="s">
        <v>87</v>
      </c>
      <c r="D662" t="s">
        <v>14</v>
      </c>
      <c r="E662" s="2">
        <v>45626</v>
      </c>
      <c r="F662" s="2">
        <v>45637</v>
      </c>
      <c r="G662" s="2">
        <v>45634</v>
      </c>
      <c r="H662" s="3">
        <v>1</v>
      </c>
      <c r="I662" s="4">
        <v>47000</v>
      </c>
      <c r="J662" s="4">
        <v>49200</v>
      </c>
      <c r="K662" t="s">
        <v>15</v>
      </c>
      <c r="L662" s="4">
        <f t="shared" si="30"/>
        <v>-2200</v>
      </c>
      <c r="M662" t="str">
        <f t="shared" si="31"/>
        <v>Over Budget</v>
      </c>
      <c r="N662">
        <f t="shared" ca="1" si="32"/>
        <v>-3</v>
      </c>
    </row>
    <row r="663" spans="1:14" x14ac:dyDescent="0.25">
      <c r="A663" t="s">
        <v>55</v>
      </c>
      <c r="B663" t="s">
        <v>117</v>
      </c>
      <c r="C663" t="s">
        <v>31</v>
      </c>
      <c r="D663" t="s">
        <v>23</v>
      </c>
      <c r="E663" s="2">
        <v>45723</v>
      </c>
      <c r="F663" s="2">
        <v>45732</v>
      </c>
      <c r="G663" s="2"/>
      <c r="H663" s="3">
        <v>0.25</v>
      </c>
      <c r="I663" s="4">
        <v>14000</v>
      </c>
      <c r="J663" s="4">
        <v>7900</v>
      </c>
      <c r="K663" t="s">
        <v>94</v>
      </c>
      <c r="L663" s="4">
        <f t="shared" si="30"/>
        <v>6100</v>
      </c>
      <c r="M663" t="str">
        <f t="shared" si="31"/>
        <v>Within Budget</v>
      </c>
      <c r="N663">
        <f t="shared" ca="1" si="32"/>
        <v>554</v>
      </c>
    </row>
    <row r="664" spans="1:14" x14ac:dyDescent="0.25">
      <c r="A664" t="s">
        <v>42</v>
      </c>
      <c r="B664" t="s">
        <v>49</v>
      </c>
      <c r="C664" t="s">
        <v>87</v>
      </c>
      <c r="D664" t="s">
        <v>14</v>
      </c>
      <c r="E664" s="2">
        <v>45315</v>
      </c>
      <c r="F664" s="2">
        <v>45328</v>
      </c>
      <c r="G664" s="2">
        <v>45360</v>
      </c>
      <c r="H664" s="3">
        <v>1</v>
      </c>
      <c r="I664" s="4">
        <v>40000</v>
      </c>
      <c r="J664" s="4">
        <v>56000</v>
      </c>
      <c r="K664" t="s">
        <v>15</v>
      </c>
      <c r="L664" s="4">
        <f t="shared" si="30"/>
        <v>-16000</v>
      </c>
      <c r="M664" t="str">
        <f t="shared" si="31"/>
        <v>Over Budget</v>
      </c>
      <c r="N664">
        <f t="shared" ca="1" si="32"/>
        <v>32</v>
      </c>
    </row>
    <row r="665" spans="1:14" x14ac:dyDescent="0.25">
      <c r="A665" t="s">
        <v>83</v>
      </c>
      <c r="B665" t="s">
        <v>124</v>
      </c>
      <c r="C665" t="s">
        <v>67</v>
      </c>
      <c r="D665" t="s">
        <v>36</v>
      </c>
      <c r="E665" s="2">
        <v>45796</v>
      </c>
      <c r="F665" s="2">
        <v>45822</v>
      </c>
      <c r="G665" s="2"/>
      <c r="H665" s="3">
        <v>0</v>
      </c>
      <c r="I665" s="4">
        <v>44000</v>
      </c>
      <c r="J665" s="4">
        <v>0</v>
      </c>
      <c r="K665" t="s">
        <v>48</v>
      </c>
      <c r="L665" s="4">
        <f t="shared" si="30"/>
        <v>44000</v>
      </c>
      <c r="M665" t="str">
        <f t="shared" si="31"/>
        <v>Within Budget</v>
      </c>
      <c r="N665">
        <f t="shared" ca="1" si="32"/>
        <v>464</v>
      </c>
    </row>
    <row r="666" spans="1:14" x14ac:dyDescent="0.25">
      <c r="A666" t="s">
        <v>45</v>
      </c>
      <c r="B666" t="s">
        <v>110</v>
      </c>
      <c r="C666" t="s">
        <v>61</v>
      </c>
      <c r="D666" t="s">
        <v>14</v>
      </c>
      <c r="E666" s="2">
        <v>45544</v>
      </c>
      <c r="F666" s="2">
        <v>45551</v>
      </c>
      <c r="G666" s="2">
        <v>45559</v>
      </c>
      <c r="H666" s="3">
        <v>1</v>
      </c>
      <c r="I666" s="4">
        <v>5000</v>
      </c>
      <c r="J666" s="4">
        <v>5200</v>
      </c>
      <c r="K666" t="s">
        <v>15</v>
      </c>
      <c r="L666" s="4">
        <f t="shared" si="30"/>
        <v>-200</v>
      </c>
      <c r="M666" t="str">
        <f t="shared" si="31"/>
        <v>Over Budget</v>
      </c>
      <c r="N666">
        <f t="shared" ca="1" si="32"/>
        <v>8</v>
      </c>
    </row>
    <row r="667" spans="1:14" x14ac:dyDescent="0.25">
      <c r="A667" t="s">
        <v>79</v>
      </c>
      <c r="B667" t="s">
        <v>102</v>
      </c>
      <c r="C667" t="s">
        <v>28</v>
      </c>
      <c r="D667" t="s">
        <v>36</v>
      </c>
      <c r="E667" s="2">
        <v>45339</v>
      </c>
      <c r="F667" s="2">
        <v>45348</v>
      </c>
      <c r="G667" s="2">
        <v>45352</v>
      </c>
      <c r="H667" s="3">
        <v>1</v>
      </c>
      <c r="I667" s="4">
        <v>5000</v>
      </c>
      <c r="J667" s="4">
        <v>5500</v>
      </c>
      <c r="K667" t="s">
        <v>15</v>
      </c>
      <c r="L667" s="4">
        <f t="shared" si="30"/>
        <v>-500</v>
      </c>
      <c r="M667" t="str">
        <f t="shared" si="31"/>
        <v>Over Budget</v>
      </c>
      <c r="N667">
        <f t="shared" ca="1" si="32"/>
        <v>4</v>
      </c>
    </row>
    <row r="668" spans="1:14" x14ac:dyDescent="0.25">
      <c r="A668" t="s">
        <v>104</v>
      </c>
      <c r="B668" t="s">
        <v>80</v>
      </c>
      <c r="C668" t="s">
        <v>28</v>
      </c>
      <c r="D668" t="s">
        <v>23</v>
      </c>
      <c r="E668" s="2">
        <v>45670</v>
      </c>
      <c r="F668" s="2">
        <v>45678</v>
      </c>
      <c r="G668" s="2">
        <v>45676</v>
      </c>
      <c r="H668" s="3">
        <v>1</v>
      </c>
      <c r="I668" s="4">
        <v>2000</v>
      </c>
      <c r="J668" s="4">
        <v>2100</v>
      </c>
      <c r="K668" t="s">
        <v>15</v>
      </c>
      <c r="L668" s="4">
        <f t="shared" si="30"/>
        <v>-100</v>
      </c>
      <c r="M668" t="str">
        <f t="shared" si="31"/>
        <v>Over Budget</v>
      </c>
      <c r="N668">
        <f t="shared" ca="1" si="32"/>
        <v>-2</v>
      </c>
    </row>
    <row r="669" spans="1:14" x14ac:dyDescent="0.25">
      <c r="A669" t="s">
        <v>120</v>
      </c>
      <c r="B669" t="s">
        <v>117</v>
      </c>
      <c r="C669" t="s">
        <v>111</v>
      </c>
      <c r="D669" t="s">
        <v>14</v>
      </c>
      <c r="E669" s="2">
        <v>45304</v>
      </c>
      <c r="F669" s="2">
        <v>45331</v>
      </c>
      <c r="G669" s="2"/>
      <c r="H669" s="3">
        <v>0.77</v>
      </c>
      <c r="I669" s="4">
        <v>26000</v>
      </c>
      <c r="J669" s="4">
        <v>30000</v>
      </c>
      <c r="K669" t="s">
        <v>19</v>
      </c>
      <c r="L669" s="4">
        <f t="shared" si="30"/>
        <v>-4000</v>
      </c>
      <c r="M669" t="str">
        <f t="shared" si="31"/>
        <v>Over Budget</v>
      </c>
      <c r="N669">
        <f t="shared" ca="1" si="32"/>
        <v>955</v>
      </c>
    </row>
    <row r="670" spans="1:14" x14ac:dyDescent="0.25">
      <c r="A670" t="s">
        <v>55</v>
      </c>
      <c r="B670" t="s">
        <v>115</v>
      </c>
      <c r="C670" t="s">
        <v>100</v>
      </c>
      <c r="D670" t="s">
        <v>32</v>
      </c>
      <c r="E670" s="2">
        <v>45833</v>
      </c>
      <c r="F670" s="2">
        <v>45841</v>
      </c>
      <c r="G670" s="2"/>
      <c r="H670" s="3">
        <v>0</v>
      </c>
      <c r="I670" s="4">
        <v>7000</v>
      </c>
      <c r="J670" s="4">
        <v>0</v>
      </c>
      <c r="K670" t="s">
        <v>48</v>
      </c>
      <c r="L670" s="4">
        <f t="shared" si="30"/>
        <v>7000</v>
      </c>
      <c r="M670" t="str">
        <f t="shared" si="31"/>
        <v>Within Budget</v>
      </c>
      <c r="N670">
        <f t="shared" ca="1" si="32"/>
        <v>445</v>
      </c>
    </row>
    <row r="671" spans="1:14" x14ac:dyDescent="0.25">
      <c r="A671" t="s">
        <v>55</v>
      </c>
      <c r="B671" t="s">
        <v>116</v>
      </c>
      <c r="C671" t="s">
        <v>39</v>
      </c>
      <c r="D671" t="s">
        <v>14</v>
      </c>
      <c r="E671" s="2">
        <v>45802</v>
      </c>
      <c r="F671" s="2">
        <v>45811</v>
      </c>
      <c r="G671" s="2"/>
      <c r="H671" s="3">
        <v>0</v>
      </c>
      <c r="I671" s="4">
        <v>8000</v>
      </c>
      <c r="J671" s="4">
        <v>0</v>
      </c>
      <c r="K671" t="s">
        <v>48</v>
      </c>
      <c r="L671" s="4">
        <f t="shared" si="30"/>
        <v>8000</v>
      </c>
      <c r="M671" t="str">
        <f t="shared" si="31"/>
        <v>Within Budget</v>
      </c>
      <c r="N671">
        <f t="shared" ca="1" si="32"/>
        <v>475</v>
      </c>
    </row>
    <row r="672" spans="1:14" x14ac:dyDescent="0.25">
      <c r="A672" t="s">
        <v>62</v>
      </c>
      <c r="B672" t="s">
        <v>73</v>
      </c>
      <c r="C672" t="s">
        <v>112</v>
      </c>
      <c r="D672" t="s">
        <v>14</v>
      </c>
      <c r="E672" s="2">
        <v>45540</v>
      </c>
      <c r="F672" s="2">
        <v>45612</v>
      </c>
      <c r="G672" s="2">
        <v>45640</v>
      </c>
      <c r="H672" s="3">
        <v>1</v>
      </c>
      <c r="I672" s="4">
        <v>172000</v>
      </c>
      <c r="J672" s="4">
        <v>164300</v>
      </c>
      <c r="K672" t="s">
        <v>15</v>
      </c>
      <c r="L672" s="4">
        <f t="shared" si="30"/>
        <v>7700</v>
      </c>
      <c r="M672" t="str">
        <f t="shared" si="31"/>
        <v>Within Budget</v>
      </c>
      <c r="N672">
        <f t="shared" ca="1" si="32"/>
        <v>28</v>
      </c>
    </row>
    <row r="673" spans="1:14" x14ac:dyDescent="0.25">
      <c r="A673" t="s">
        <v>33</v>
      </c>
      <c r="B673" t="s">
        <v>119</v>
      </c>
      <c r="C673" t="s">
        <v>18</v>
      </c>
      <c r="D673" t="s">
        <v>32</v>
      </c>
      <c r="E673" s="2">
        <v>45420</v>
      </c>
      <c r="F673" s="2">
        <v>45453</v>
      </c>
      <c r="G673" s="2">
        <v>45460</v>
      </c>
      <c r="H673" s="3">
        <v>1</v>
      </c>
      <c r="I673" s="4">
        <v>37000</v>
      </c>
      <c r="J673" s="4">
        <v>34800</v>
      </c>
      <c r="K673" t="s">
        <v>15</v>
      </c>
      <c r="L673" s="4">
        <f t="shared" si="30"/>
        <v>2200</v>
      </c>
      <c r="M673" t="str">
        <f t="shared" si="31"/>
        <v>Within Budget</v>
      </c>
      <c r="N673">
        <f t="shared" ca="1" si="32"/>
        <v>7</v>
      </c>
    </row>
    <row r="674" spans="1:14" x14ac:dyDescent="0.25">
      <c r="A674" t="s">
        <v>107</v>
      </c>
      <c r="B674" t="s">
        <v>84</v>
      </c>
      <c r="C674" t="s">
        <v>44</v>
      </c>
      <c r="D674" t="s">
        <v>23</v>
      </c>
      <c r="E674" s="2">
        <v>45624</v>
      </c>
      <c r="F674" s="2">
        <v>45648</v>
      </c>
      <c r="G674" s="2">
        <v>45653</v>
      </c>
      <c r="H674" s="3">
        <v>1</v>
      </c>
      <c r="I674" s="4">
        <v>45000</v>
      </c>
      <c r="J674" s="4">
        <v>53700</v>
      </c>
      <c r="K674" t="s">
        <v>15</v>
      </c>
      <c r="L674" s="4">
        <f t="shared" si="30"/>
        <v>-8700</v>
      </c>
      <c r="M674" t="str">
        <f t="shared" si="31"/>
        <v>Over Budget</v>
      </c>
      <c r="N674">
        <f t="shared" ca="1" si="32"/>
        <v>5</v>
      </c>
    </row>
    <row r="675" spans="1:14" x14ac:dyDescent="0.25">
      <c r="A675" t="s">
        <v>66</v>
      </c>
      <c r="B675" t="s">
        <v>78</v>
      </c>
      <c r="C675" t="s">
        <v>67</v>
      </c>
      <c r="D675" t="s">
        <v>14</v>
      </c>
      <c r="E675" s="2">
        <v>45773</v>
      </c>
      <c r="F675" s="2">
        <v>45800</v>
      </c>
      <c r="G675" s="2"/>
      <c r="H675" s="3">
        <v>0</v>
      </c>
      <c r="I675" s="4">
        <v>19000</v>
      </c>
      <c r="J675" s="4">
        <v>0</v>
      </c>
      <c r="K675" t="s">
        <v>48</v>
      </c>
      <c r="L675" s="4">
        <f t="shared" si="30"/>
        <v>19000</v>
      </c>
      <c r="M675" t="str">
        <f t="shared" si="31"/>
        <v>Within Budget</v>
      </c>
      <c r="N675">
        <f t="shared" ca="1" si="32"/>
        <v>486</v>
      </c>
    </row>
    <row r="676" spans="1:14" x14ac:dyDescent="0.25">
      <c r="A676" t="s">
        <v>104</v>
      </c>
      <c r="B676" t="s">
        <v>73</v>
      </c>
      <c r="C676" t="s">
        <v>39</v>
      </c>
      <c r="D676" t="s">
        <v>14</v>
      </c>
      <c r="E676" s="2">
        <v>45635</v>
      </c>
      <c r="F676" s="2">
        <v>45693</v>
      </c>
      <c r="G676" s="2"/>
      <c r="H676" s="3">
        <v>0.57999999999999996</v>
      </c>
      <c r="I676" s="4">
        <v>60000</v>
      </c>
      <c r="J676" s="4">
        <v>25200</v>
      </c>
      <c r="K676" t="s">
        <v>94</v>
      </c>
      <c r="L676" s="4">
        <f t="shared" si="30"/>
        <v>34800</v>
      </c>
      <c r="M676" t="str">
        <f t="shared" si="31"/>
        <v>Within Budget</v>
      </c>
      <c r="N676">
        <f t="shared" ca="1" si="32"/>
        <v>593</v>
      </c>
    </row>
    <row r="677" spans="1:14" x14ac:dyDescent="0.25">
      <c r="A677" t="s">
        <v>55</v>
      </c>
      <c r="B677" t="s">
        <v>92</v>
      </c>
      <c r="C677" t="s">
        <v>61</v>
      </c>
      <c r="D677" t="s">
        <v>36</v>
      </c>
      <c r="E677" s="2">
        <v>45356</v>
      </c>
      <c r="F677" s="2">
        <v>45385</v>
      </c>
      <c r="G677" s="2">
        <v>45411</v>
      </c>
      <c r="H677" s="3">
        <v>1</v>
      </c>
      <c r="I677" s="4">
        <v>10000</v>
      </c>
      <c r="J677" s="4">
        <v>13700</v>
      </c>
      <c r="K677" t="s">
        <v>15</v>
      </c>
      <c r="L677" s="4">
        <f t="shared" si="30"/>
        <v>-3700</v>
      </c>
      <c r="M677" t="str">
        <f t="shared" si="31"/>
        <v>Over Budget</v>
      </c>
      <c r="N677">
        <f t="shared" ca="1" si="32"/>
        <v>26</v>
      </c>
    </row>
    <row r="678" spans="1:14" x14ac:dyDescent="0.25">
      <c r="A678" t="s">
        <v>104</v>
      </c>
      <c r="B678" t="s">
        <v>93</v>
      </c>
      <c r="C678" t="s">
        <v>112</v>
      </c>
      <c r="D678" t="s">
        <v>36</v>
      </c>
      <c r="E678" s="2">
        <v>45811</v>
      </c>
      <c r="F678" s="2">
        <v>45832</v>
      </c>
      <c r="G678" s="2"/>
      <c r="H678" s="3">
        <v>0.35</v>
      </c>
      <c r="I678" s="4">
        <v>26000</v>
      </c>
      <c r="J678" s="4">
        <v>9700</v>
      </c>
      <c r="K678" t="s">
        <v>65</v>
      </c>
      <c r="L678" s="4">
        <f t="shared" si="30"/>
        <v>16300</v>
      </c>
      <c r="M678" t="str">
        <f t="shared" si="31"/>
        <v>Within Budget</v>
      </c>
      <c r="N678">
        <f t="shared" ca="1" si="32"/>
        <v>454</v>
      </c>
    </row>
    <row r="679" spans="1:14" x14ac:dyDescent="0.25">
      <c r="A679" t="s">
        <v>83</v>
      </c>
      <c r="B679" t="s">
        <v>43</v>
      </c>
      <c r="C679" t="s">
        <v>111</v>
      </c>
      <c r="D679" t="s">
        <v>23</v>
      </c>
      <c r="E679" s="2">
        <v>45709</v>
      </c>
      <c r="F679" s="2">
        <v>45753</v>
      </c>
      <c r="G679" s="2"/>
      <c r="H679" s="3">
        <v>0.66</v>
      </c>
      <c r="I679" s="4">
        <v>97000</v>
      </c>
      <c r="J679" s="4">
        <v>69300</v>
      </c>
      <c r="K679" t="s">
        <v>65</v>
      </c>
      <c r="L679" s="4">
        <f t="shared" si="30"/>
        <v>27700</v>
      </c>
      <c r="M679" t="str">
        <f t="shared" si="31"/>
        <v>Within Budget</v>
      </c>
      <c r="N679">
        <f t="shared" ca="1" si="32"/>
        <v>533</v>
      </c>
    </row>
    <row r="680" spans="1:14" x14ac:dyDescent="0.25">
      <c r="A680" t="s">
        <v>16</v>
      </c>
      <c r="B680" t="s">
        <v>115</v>
      </c>
      <c r="C680" t="s">
        <v>112</v>
      </c>
      <c r="D680" t="s">
        <v>14</v>
      </c>
      <c r="E680" s="2">
        <v>45687</v>
      </c>
      <c r="F680" s="2">
        <v>45717</v>
      </c>
      <c r="G680" s="2">
        <v>45720</v>
      </c>
      <c r="H680" s="3">
        <v>1</v>
      </c>
      <c r="I680" s="4">
        <v>43000</v>
      </c>
      <c r="J680" s="4">
        <v>40000</v>
      </c>
      <c r="K680" t="s">
        <v>15</v>
      </c>
      <c r="L680" s="4">
        <f t="shared" si="30"/>
        <v>3000</v>
      </c>
      <c r="M680" t="str">
        <f t="shared" si="31"/>
        <v>Within Budget</v>
      </c>
      <c r="N680">
        <f t="shared" ca="1" si="32"/>
        <v>3</v>
      </c>
    </row>
    <row r="681" spans="1:14" x14ac:dyDescent="0.25">
      <c r="A681" t="s">
        <v>53</v>
      </c>
      <c r="B681" t="s">
        <v>25</v>
      </c>
      <c r="C681" t="s">
        <v>26</v>
      </c>
      <c r="D681" t="s">
        <v>36</v>
      </c>
      <c r="E681" s="2">
        <v>45563</v>
      </c>
      <c r="F681" s="2">
        <v>45590</v>
      </c>
      <c r="G681" s="2">
        <v>45595</v>
      </c>
      <c r="H681" s="3">
        <v>1</v>
      </c>
      <c r="I681" s="4">
        <v>44000</v>
      </c>
      <c r="J681" s="4">
        <v>61400</v>
      </c>
      <c r="K681" t="s">
        <v>15</v>
      </c>
      <c r="L681" s="4">
        <f t="shared" si="30"/>
        <v>-17400</v>
      </c>
      <c r="M681" t="str">
        <f t="shared" si="31"/>
        <v>Over Budget</v>
      </c>
      <c r="N681">
        <f t="shared" ca="1" si="32"/>
        <v>5</v>
      </c>
    </row>
    <row r="682" spans="1:14" x14ac:dyDescent="0.25">
      <c r="A682" t="s">
        <v>68</v>
      </c>
      <c r="B682" t="s">
        <v>56</v>
      </c>
      <c r="C682" t="s">
        <v>67</v>
      </c>
      <c r="D682" t="s">
        <v>14</v>
      </c>
      <c r="E682" s="2">
        <v>45686</v>
      </c>
      <c r="F682" s="2">
        <v>45698</v>
      </c>
      <c r="G682" s="2">
        <v>45691</v>
      </c>
      <c r="H682" s="3">
        <v>1</v>
      </c>
      <c r="I682" s="4">
        <v>30000</v>
      </c>
      <c r="J682" s="4">
        <v>33200</v>
      </c>
      <c r="K682" t="s">
        <v>15</v>
      </c>
      <c r="L682" s="4">
        <f t="shared" si="30"/>
        <v>-3200</v>
      </c>
      <c r="M682" t="str">
        <f t="shared" si="31"/>
        <v>Over Budget</v>
      </c>
      <c r="N682">
        <f t="shared" ca="1" si="32"/>
        <v>-7</v>
      </c>
    </row>
    <row r="683" spans="1:14" x14ac:dyDescent="0.25">
      <c r="A683" t="s">
        <v>107</v>
      </c>
      <c r="B683" t="s">
        <v>49</v>
      </c>
      <c r="C683" t="s">
        <v>13</v>
      </c>
      <c r="D683" t="s">
        <v>23</v>
      </c>
      <c r="E683" s="2">
        <v>45447</v>
      </c>
      <c r="F683" s="2">
        <v>45456</v>
      </c>
      <c r="G683" s="2">
        <v>45457</v>
      </c>
      <c r="H683" s="3">
        <v>1</v>
      </c>
      <c r="I683" s="4">
        <v>7000</v>
      </c>
      <c r="J683" s="4">
        <v>9600</v>
      </c>
      <c r="K683" t="s">
        <v>15</v>
      </c>
      <c r="L683" s="4">
        <f t="shared" si="30"/>
        <v>-2600</v>
      </c>
      <c r="M683" t="str">
        <f t="shared" si="31"/>
        <v>Over Budget</v>
      </c>
      <c r="N683">
        <f t="shared" ca="1" si="32"/>
        <v>1</v>
      </c>
    </row>
    <row r="684" spans="1:14" x14ac:dyDescent="0.25">
      <c r="A684" t="s">
        <v>91</v>
      </c>
      <c r="B684" t="s">
        <v>21</v>
      </c>
      <c r="C684" t="s">
        <v>71</v>
      </c>
      <c r="D684" t="s">
        <v>14</v>
      </c>
      <c r="E684" s="2">
        <v>45447</v>
      </c>
      <c r="F684" s="2">
        <v>45481</v>
      </c>
      <c r="G684" s="2"/>
      <c r="H684" s="3">
        <v>0.28999999999999998</v>
      </c>
      <c r="I684" s="4">
        <v>40000</v>
      </c>
      <c r="J684" s="4">
        <v>41700</v>
      </c>
      <c r="K684" t="s">
        <v>19</v>
      </c>
      <c r="L684" s="4">
        <f t="shared" si="30"/>
        <v>-1700</v>
      </c>
      <c r="M684" t="str">
        <f t="shared" si="31"/>
        <v>Over Budget</v>
      </c>
      <c r="N684">
        <f t="shared" ca="1" si="32"/>
        <v>805</v>
      </c>
    </row>
    <row r="685" spans="1:14" x14ac:dyDescent="0.25">
      <c r="A685" t="s">
        <v>50</v>
      </c>
      <c r="B685" t="s">
        <v>96</v>
      </c>
      <c r="C685" t="s">
        <v>100</v>
      </c>
      <c r="D685" t="s">
        <v>36</v>
      </c>
      <c r="E685" s="2">
        <v>45793</v>
      </c>
      <c r="F685" s="2">
        <v>45805</v>
      </c>
      <c r="G685" s="2"/>
      <c r="H685" s="3">
        <v>0</v>
      </c>
      <c r="I685" s="4">
        <v>48000</v>
      </c>
      <c r="J685" s="4">
        <v>0</v>
      </c>
      <c r="K685" t="s">
        <v>48</v>
      </c>
      <c r="L685" s="4">
        <f t="shared" si="30"/>
        <v>48000</v>
      </c>
      <c r="M685" t="str">
        <f t="shared" si="31"/>
        <v>Within Budget</v>
      </c>
      <c r="N685">
        <f t="shared" ca="1" si="32"/>
        <v>481</v>
      </c>
    </row>
    <row r="686" spans="1:14" x14ac:dyDescent="0.25">
      <c r="A686" t="s">
        <v>103</v>
      </c>
      <c r="B686" t="s">
        <v>114</v>
      </c>
      <c r="C686" t="s">
        <v>71</v>
      </c>
      <c r="D686" t="s">
        <v>14</v>
      </c>
      <c r="E686" s="2">
        <v>45469</v>
      </c>
      <c r="F686" s="2">
        <v>45489</v>
      </c>
      <c r="G686" s="2"/>
      <c r="H686" s="3">
        <v>0.8</v>
      </c>
      <c r="I686" s="4">
        <v>32000</v>
      </c>
      <c r="J686" s="4">
        <v>25800</v>
      </c>
      <c r="K686" t="s">
        <v>19</v>
      </c>
      <c r="L686" s="4">
        <f t="shared" si="30"/>
        <v>6200</v>
      </c>
      <c r="M686" t="str">
        <f t="shared" si="31"/>
        <v>Within Budget</v>
      </c>
      <c r="N686">
        <f t="shared" ca="1" si="32"/>
        <v>797</v>
      </c>
    </row>
    <row r="687" spans="1:14" x14ac:dyDescent="0.25">
      <c r="A687" t="s">
        <v>120</v>
      </c>
      <c r="B687" t="s">
        <v>84</v>
      </c>
      <c r="C687" t="s">
        <v>18</v>
      </c>
      <c r="D687" t="s">
        <v>23</v>
      </c>
      <c r="E687" s="2">
        <v>45756</v>
      </c>
      <c r="F687" s="2">
        <v>45790</v>
      </c>
      <c r="G687" s="2"/>
      <c r="H687" s="3">
        <v>0.37</v>
      </c>
      <c r="I687" s="4">
        <v>40000</v>
      </c>
      <c r="J687" s="4">
        <v>17200</v>
      </c>
      <c r="K687" t="s">
        <v>65</v>
      </c>
      <c r="L687" s="4">
        <f t="shared" si="30"/>
        <v>22800</v>
      </c>
      <c r="M687" t="str">
        <f t="shared" si="31"/>
        <v>Within Budget</v>
      </c>
      <c r="N687">
        <f t="shared" ca="1" si="32"/>
        <v>496</v>
      </c>
    </row>
    <row r="688" spans="1:14" x14ac:dyDescent="0.25">
      <c r="A688" t="s">
        <v>121</v>
      </c>
      <c r="B688" t="s">
        <v>98</v>
      </c>
      <c r="C688" t="s">
        <v>71</v>
      </c>
      <c r="D688" t="s">
        <v>32</v>
      </c>
      <c r="E688" s="2">
        <v>45540</v>
      </c>
      <c r="F688" s="2">
        <v>45575</v>
      </c>
      <c r="G688" s="2"/>
      <c r="H688" s="3">
        <v>0.51</v>
      </c>
      <c r="I688" s="4">
        <v>100000</v>
      </c>
      <c r="J688" s="4">
        <v>107800</v>
      </c>
      <c r="K688" t="s">
        <v>19</v>
      </c>
      <c r="L688" s="4">
        <f t="shared" si="30"/>
        <v>-7800</v>
      </c>
      <c r="M688" t="str">
        <f t="shared" si="31"/>
        <v>Over Budget</v>
      </c>
      <c r="N688">
        <f t="shared" ca="1" si="32"/>
        <v>711</v>
      </c>
    </row>
    <row r="689" spans="1:14" x14ac:dyDescent="0.25">
      <c r="A689" t="s">
        <v>20</v>
      </c>
      <c r="B689" t="s">
        <v>38</v>
      </c>
      <c r="C689" t="s">
        <v>18</v>
      </c>
      <c r="D689" t="s">
        <v>36</v>
      </c>
      <c r="E689" s="2">
        <v>45319</v>
      </c>
      <c r="F689" s="2">
        <v>45326</v>
      </c>
      <c r="G689" s="2">
        <v>45322</v>
      </c>
      <c r="H689" s="3">
        <v>0.3</v>
      </c>
      <c r="I689" s="4">
        <v>7000</v>
      </c>
      <c r="J689" s="4">
        <v>400</v>
      </c>
      <c r="K689" t="s">
        <v>27</v>
      </c>
      <c r="L689" s="4">
        <f t="shared" si="30"/>
        <v>6600</v>
      </c>
      <c r="M689" t="str">
        <f t="shared" si="31"/>
        <v>Within Budget</v>
      </c>
      <c r="N689">
        <f t="shared" ca="1" si="32"/>
        <v>-4</v>
      </c>
    </row>
    <row r="690" spans="1:14" x14ac:dyDescent="0.25">
      <c r="A690" t="s">
        <v>53</v>
      </c>
      <c r="B690" t="s">
        <v>125</v>
      </c>
      <c r="C690" t="s">
        <v>100</v>
      </c>
      <c r="D690" t="s">
        <v>36</v>
      </c>
      <c r="E690" s="2">
        <v>45385</v>
      </c>
      <c r="F690" s="2">
        <v>45395</v>
      </c>
      <c r="G690" s="2">
        <v>45387</v>
      </c>
      <c r="H690" s="3">
        <v>0.15</v>
      </c>
      <c r="I690" s="4">
        <v>10000</v>
      </c>
      <c r="J690" s="4">
        <v>3500</v>
      </c>
      <c r="K690" t="s">
        <v>27</v>
      </c>
      <c r="L690" s="4">
        <f t="shared" si="30"/>
        <v>6500</v>
      </c>
      <c r="M690" t="str">
        <f t="shared" si="31"/>
        <v>Within Budget</v>
      </c>
      <c r="N690">
        <f t="shared" ca="1" si="32"/>
        <v>-8</v>
      </c>
    </row>
    <row r="691" spans="1:14" x14ac:dyDescent="0.25">
      <c r="A691" t="s">
        <v>109</v>
      </c>
      <c r="B691" t="s">
        <v>110</v>
      </c>
      <c r="C691" t="s">
        <v>87</v>
      </c>
      <c r="D691" t="s">
        <v>36</v>
      </c>
      <c r="E691" s="2">
        <v>45526</v>
      </c>
      <c r="F691" s="2">
        <v>45555</v>
      </c>
      <c r="G691" s="2">
        <v>45547</v>
      </c>
      <c r="H691" s="3">
        <v>1</v>
      </c>
      <c r="I691" s="4">
        <v>38000</v>
      </c>
      <c r="J691" s="4">
        <v>33700</v>
      </c>
      <c r="K691" t="s">
        <v>15</v>
      </c>
      <c r="L691" s="4">
        <f t="shared" si="30"/>
        <v>4300</v>
      </c>
      <c r="M691" t="str">
        <f t="shared" si="31"/>
        <v>Within Budget</v>
      </c>
      <c r="N691">
        <f t="shared" ca="1" si="32"/>
        <v>-8</v>
      </c>
    </row>
    <row r="692" spans="1:14" x14ac:dyDescent="0.25">
      <c r="A692" t="s">
        <v>66</v>
      </c>
      <c r="B692" t="s">
        <v>70</v>
      </c>
      <c r="C692" t="s">
        <v>113</v>
      </c>
      <c r="D692" t="s">
        <v>23</v>
      </c>
      <c r="E692" s="2">
        <v>45788</v>
      </c>
      <c r="F692" s="2">
        <v>45797</v>
      </c>
      <c r="G692" s="2"/>
      <c r="H692" s="3">
        <v>0.22</v>
      </c>
      <c r="I692" s="4">
        <v>13000</v>
      </c>
      <c r="J692" s="4">
        <v>3000</v>
      </c>
      <c r="K692" t="s">
        <v>65</v>
      </c>
      <c r="L692" s="4">
        <f t="shared" si="30"/>
        <v>10000</v>
      </c>
      <c r="M692" t="str">
        <f t="shared" si="31"/>
        <v>Within Budget</v>
      </c>
      <c r="N692">
        <f t="shared" ca="1" si="32"/>
        <v>489</v>
      </c>
    </row>
    <row r="693" spans="1:14" x14ac:dyDescent="0.25">
      <c r="A693" t="s">
        <v>20</v>
      </c>
      <c r="B693" t="s">
        <v>115</v>
      </c>
      <c r="C693" t="s">
        <v>35</v>
      </c>
      <c r="D693" t="s">
        <v>14</v>
      </c>
      <c r="E693" s="2">
        <v>45589</v>
      </c>
      <c r="F693" s="2">
        <v>45610</v>
      </c>
      <c r="G693" s="2">
        <v>45601</v>
      </c>
      <c r="H693" s="3">
        <v>1</v>
      </c>
      <c r="I693" s="4">
        <v>29000</v>
      </c>
      <c r="J693" s="4">
        <v>39100</v>
      </c>
      <c r="K693" t="s">
        <v>15</v>
      </c>
      <c r="L693" s="4">
        <f t="shared" si="30"/>
        <v>-10100</v>
      </c>
      <c r="M693" t="str">
        <f t="shared" si="31"/>
        <v>Over Budget</v>
      </c>
      <c r="N693">
        <f t="shared" ca="1" si="32"/>
        <v>-9</v>
      </c>
    </row>
    <row r="694" spans="1:14" x14ac:dyDescent="0.25">
      <c r="A694" t="s">
        <v>107</v>
      </c>
      <c r="B694" t="s">
        <v>12</v>
      </c>
      <c r="C694" t="s">
        <v>87</v>
      </c>
      <c r="D694" t="s">
        <v>36</v>
      </c>
      <c r="E694" s="2">
        <v>45405</v>
      </c>
      <c r="F694" s="2">
        <v>45413</v>
      </c>
      <c r="G694" s="2">
        <v>45413</v>
      </c>
      <c r="H694" s="3">
        <v>1</v>
      </c>
      <c r="I694" s="4">
        <v>5000</v>
      </c>
      <c r="J694" s="4">
        <v>5400</v>
      </c>
      <c r="K694" t="s">
        <v>15</v>
      </c>
      <c r="L694" s="4">
        <f t="shared" si="30"/>
        <v>-400</v>
      </c>
      <c r="M694" t="str">
        <f t="shared" si="31"/>
        <v>Over Budget</v>
      </c>
      <c r="N694">
        <f t="shared" ca="1" si="32"/>
        <v>0</v>
      </c>
    </row>
    <row r="695" spans="1:14" x14ac:dyDescent="0.25">
      <c r="A695" t="s">
        <v>11</v>
      </c>
      <c r="B695" t="s">
        <v>88</v>
      </c>
      <c r="C695" t="s">
        <v>113</v>
      </c>
      <c r="D695" t="s">
        <v>36</v>
      </c>
      <c r="E695" s="2">
        <v>45507</v>
      </c>
      <c r="F695" s="2">
        <v>45542</v>
      </c>
      <c r="G695" s="2">
        <v>45533</v>
      </c>
      <c r="H695" s="3">
        <v>1</v>
      </c>
      <c r="I695" s="4">
        <v>64000</v>
      </c>
      <c r="J695" s="4">
        <v>56500</v>
      </c>
      <c r="K695" t="s">
        <v>15</v>
      </c>
      <c r="L695" s="4">
        <f t="shared" si="30"/>
        <v>7500</v>
      </c>
      <c r="M695" t="str">
        <f t="shared" si="31"/>
        <v>Within Budget</v>
      </c>
      <c r="N695">
        <f t="shared" ca="1" si="32"/>
        <v>-9</v>
      </c>
    </row>
    <row r="696" spans="1:14" x14ac:dyDescent="0.25">
      <c r="A696" t="s">
        <v>53</v>
      </c>
      <c r="B696" t="s">
        <v>46</v>
      </c>
      <c r="C696" t="s">
        <v>112</v>
      </c>
      <c r="D696" t="s">
        <v>14</v>
      </c>
      <c r="E696" s="2">
        <v>45381</v>
      </c>
      <c r="F696" s="2">
        <v>45407</v>
      </c>
      <c r="G696" s="2">
        <v>45391</v>
      </c>
      <c r="H696" s="3">
        <v>0.2</v>
      </c>
      <c r="I696" s="4">
        <v>10000</v>
      </c>
      <c r="J696" s="4">
        <v>2900</v>
      </c>
      <c r="K696" t="s">
        <v>27</v>
      </c>
      <c r="L696" s="4">
        <f t="shared" si="30"/>
        <v>7100</v>
      </c>
      <c r="M696" t="str">
        <f t="shared" si="31"/>
        <v>Within Budget</v>
      </c>
      <c r="N696">
        <f t="shared" ca="1" si="32"/>
        <v>-16</v>
      </c>
    </row>
    <row r="697" spans="1:14" x14ac:dyDescent="0.25">
      <c r="A697" t="s">
        <v>103</v>
      </c>
      <c r="B697" t="s">
        <v>123</v>
      </c>
      <c r="C697" t="s">
        <v>61</v>
      </c>
      <c r="D697" t="s">
        <v>32</v>
      </c>
      <c r="E697" s="2">
        <v>45681</v>
      </c>
      <c r="F697" s="2">
        <v>45720</v>
      </c>
      <c r="G697" s="2">
        <v>45721</v>
      </c>
      <c r="H697" s="3">
        <v>1</v>
      </c>
      <c r="I697" s="4">
        <v>44000</v>
      </c>
      <c r="J697" s="4">
        <v>40100</v>
      </c>
      <c r="K697" t="s">
        <v>15</v>
      </c>
      <c r="L697" s="4">
        <f t="shared" si="30"/>
        <v>3900</v>
      </c>
      <c r="M697" t="str">
        <f t="shared" si="31"/>
        <v>Within Budget</v>
      </c>
      <c r="N697">
        <f t="shared" ca="1" si="32"/>
        <v>1</v>
      </c>
    </row>
    <row r="698" spans="1:14" x14ac:dyDescent="0.25">
      <c r="A698" t="s">
        <v>118</v>
      </c>
      <c r="B698" t="s">
        <v>102</v>
      </c>
      <c r="C698" t="s">
        <v>22</v>
      </c>
      <c r="D698" t="s">
        <v>14</v>
      </c>
      <c r="E698" s="2">
        <v>45614</v>
      </c>
      <c r="F698" s="2">
        <v>45619</v>
      </c>
      <c r="G698" s="2">
        <v>45621</v>
      </c>
      <c r="H698" s="3">
        <v>1</v>
      </c>
      <c r="I698" s="4">
        <v>13000</v>
      </c>
      <c r="J698" s="4">
        <v>15600</v>
      </c>
      <c r="K698" t="s">
        <v>15</v>
      </c>
      <c r="L698" s="4">
        <f t="shared" si="30"/>
        <v>-2600</v>
      </c>
      <c r="M698" t="str">
        <f t="shared" si="31"/>
        <v>Over Budget</v>
      </c>
      <c r="N698">
        <f t="shared" ca="1" si="32"/>
        <v>2</v>
      </c>
    </row>
    <row r="699" spans="1:14" x14ac:dyDescent="0.25">
      <c r="A699" t="s">
        <v>62</v>
      </c>
      <c r="B699" t="s">
        <v>92</v>
      </c>
      <c r="C699" t="s">
        <v>105</v>
      </c>
      <c r="D699" t="s">
        <v>36</v>
      </c>
      <c r="E699" s="2">
        <v>45379</v>
      </c>
      <c r="F699" s="2">
        <v>45386</v>
      </c>
      <c r="G699" s="2">
        <v>45381</v>
      </c>
      <c r="H699" s="3">
        <v>0.15</v>
      </c>
      <c r="I699" s="4">
        <v>13000</v>
      </c>
      <c r="J699" s="4">
        <v>1400</v>
      </c>
      <c r="K699" t="s">
        <v>27</v>
      </c>
      <c r="L699" s="4">
        <f t="shared" si="30"/>
        <v>11600</v>
      </c>
      <c r="M699" t="str">
        <f t="shared" si="31"/>
        <v>Within Budget</v>
      </c>
      <c r="N699">
        <f t="shared" ca="1" si="32"/>
        <v>-5</v>
      </c>
    </row>
    <row r="700" spans="1:14" x14ac:dyDescent="0.25">
      <c r="A700" t="s">
        <v>77</v>
      </c>
      <c r="B700" t="s">
        <v>17</v>
      </c>
      <c r="C700" t="s">
        <v>61</v>
      </c>
      <c r="D700" t="s">
        <v>14</v>
      </c>
      <c r="E700" s="2">
        <v>45373</v>
      </c>
      <c r="F700" s="2">
        <v>45401</v>
      </c>
      <c r="G700" s="2"/>
      <c r="H700" s="3">
        <v>0.5</v>
      </c>
      <c r="I700" s="4">
        <v>29000</v>
      </c>
      <c r="J700" s="4">
        <v>20200</v>
      </c>
      <c r="K700" t="s">
        <v>19</v>
      </c>
      <c r="L700" s="4">
        <f t="shared" si="30"/>
        <v>8800</v>
      </c>
      <c r="M700" t="str">
        <f t="shared" si="31"/>
        <v>Within Budget</v>
      </c>
      <c r="N700">
        <f t="shared" ca="1" si="32"/>
        <v>885</v>
      </c>
    </row>
    <row r="701" spans="1:14" x14ac:dyDescent="0.25">
      <c r="A701" t="s">
        <v>121</v>
      </c>
      <c r="B701" t="s">
        <v>86</v>
      </c>
      <c r="C701" t="s">
        <v>87</v>
      </c>
      <c r="D701" t="s">
        <v>23</v>
      </c>
      <c r="E701" s="2">
        <v>45777</v>
      </c>
      <c r="F701" s="2">
        <v>45795</v>
      </c>
      <c r="G701" s="2"/>
      <c r="H701" s="3">
        <v>0</v>
      </c>
      <c r="I701" s="4">
        <v>33000</v>
      </c>
      <c r="J701" s="4">
        <v>0</v>
      </c>
      <c r="K701" t="s">
        <v>48</v>
      </c>
      <c r="L701" s="4">
        <f t="shared" si="30"/>
        <v>33000</v>
      </c>
      <c r="M701" t="str">
        <f t="shared" si="31"/>
        <v>Within Budget</v>
      </c>
      <c r="N701">
        <f t="shared" ca="1" si="32"/>
        <v>491</v>
      </c>
    </row>
    <row r="702" spans="1:14" x14ac:dyDescent="0.25">
      <c r="A702" t="s">
        <v>62</v>
      </c>
      <c r="B702" t="s">
        <v>93</v>
      </c>
      <c r="C702" t="s">
        <v>60</v>
      </c>
      <c r="D702" t="s">
        <v>23</v>
      </c>
      <c r="E702" s="2">
        <v>45331</v>
      </c>
      <c r="F702" s="2">
        <v>45354</v>
      </c>
      <c r="G702" s="2">
        <v>45370</v>
      </c>
      <c r="H702" s="3">
        <v>1</v>
      </c>
      <c r="I702" s="4">
        <v>39000</v>
      </c>
      <c r="J702" s="4">
        <v>35200</v>
      </c>
      <c r="K702" t="s">
        <v>15</v>
      </c>
      <c r="L702" s="4">
        <f t="shared" si="30"/>
        <v>3800</v>
      </c>
      <c r="M702" t="str">
        <f t="shared" si="31"/>
        <v>Within Budget</v>
      </c>
      <c r="N702">
        <f t="shared" ca="1" si="32"/>
        <v>16</v>
      </c>
    </row>
    <row r="703" spans="1:14" x14ac:dyDescent="0.25">
      <c r="A703" t="s">
        <v>66</v>
      </c>
      <c r="B703" t="s">
        <v>70</v>
      </c>
      <c r="C703" t="s">
        <v>44</v>
      </c>
      <c r="D703" t="s">
        <v>32</v>
      </c>
      <c r="E703" s="2">
        <v>45474</v>
      </c>
      <c r="F703" s="2">
        <v>45482</v>
      </c>
      <c r="G703" s="2">
        <v>45477</v>
      </c>
      <c r="H703" s="3">
        <v>0.3</v>
      </c>
      <c r="I703" s="4">
        <v>13000</v>
      </c>
      <c r="J703" s="4">
        <v>2100</v>
      </c>
      <c r="K703" t="s">
        <v>27</v>
      </c>
      <c r="L703" s="4">
        <f t="shared" si="30"/>
        <v>10900</v>
      </c>
      <c r="M703" t="str">
        <f t="shared" si="31"/>
        <v>Within Budget</v>
      </c>
      <c r="N703">
        <f t="shared" ca="1" si="32"/>
        <v>-5</v>
      </c>
    </row>
    <row r="704" spans="1:14" x14ac:dyDescent="0.25">
      <c r="A704" t="s">
        <v>68</v>
      </c>
      <c r="B704" t="s">
        <v>49</v>
      </c>
      <c r="C704" t="s">
        <v>61</v>
      </c>
      <c r="D704" t="s">
        <v>36</v>
      </c>
      <c r="E704" s="2">
        <v>45700</v>
      </c>
      <c r="F704" s="2">
        <v>45715</v>
      </c>
      <c r="G704" s="2"/>
      <c r="H704" s="3">
        <v>0.28999999999999998</v>
      </c>
      <c r="I704" s="4">
        <v>42000</v>
      </c>
      <c r="J704" s="4">
        <v>5600</v>
      </c>
      <c r="K704" t="s">
        <v>94</v>
      </c>
      <c r="L704" s="4">
        <f t="shared" si="30"/>
        <v>36400</v>
      </c>
      <c r="M704" t="str">
        <f t="shared" si="31"/>
        <v>Within Budget</v>
      </c>
      <c r="N704">
        <f t="shared" ca="1" si="32"/>
        <v>571</v>
      </c>
    </row>
    <row r="705" spans="1:14" x14ac:dyDescent="0.25">
      <c r="A705" t="s">
        <v>118</v>
      </c>
      <c r="B705" t="s">
        <v>56</v>
      </c>
      <c r="C705" t="s">
        <v>39</v>
      </c>
      <c r="D705" t="s">
        <v>14</v>
      </c>
      <c r="E705" s="2">
        <v>45335</v>
      </c>
      <c r="F705" s="2">
        <v>45348</v>
      </c>
      <c r="G705" s="2">
        <v>45336</v>
      </c>
      <c r="H705" s="3">
        <v>0.25</v>
      </c>
      <c r="I705" s="4">
        <v>49000</v>
      </c>
      <c r="J705" s="4">
        <v>3600</v>
      </c>
      <c r="K705" t="s">
        <v>27</v>
      </c>
      <c r="L705" s="4">
        <f t="shared" si="30"/>
        <v>45400</v>
      </c>
      <c r="M705" t="str">
        <f t="shared" si="31"/>
        <v>Within Budget</v>
      </c>
      <c r="N705">
        <f t="shared" ca="1" si="32"/>
        <v>-12</v>
      </c>
    </row>
    <row r="706" spans="1:14" x14ac:dyDescent="0.25">
      <c r="A706" t="s">
        <v>107</v>
      </c>
      <c r="B706" t="s">
        <v>115</v>
      </c>
      <c r="C706" t="s">
        <v>113</v>
      </c>
      <c r="D706" t="s">
        <v>14</v>
      </c>
      <c r="E706" s="2">
        <v>45711</v>
      </c>
      <c r="F706" s="2">
        <v>45730</v>
      </c>
      <c r="G706" s="2"/>
      <c r="H706" s="3">
        <v>0.47</v>
      </c>
      <c r="I706" s="4">
        <v>43000</v>
      </c>
      <c r="J706" s="4">
        <v>4400</v>
      </c>
      <c r="K706" t="s">
        <v>94</v>
      </c>
      <c r="L706" s="4">
        <f t="shared" si="30"/>
        <v>38600</v>
      </c>
      <c r="M706" t="str">
        <f t="shared" si="31"/>
        <v>Within Budget</v>
      </c>
      <c r="N706">
        <f t="shared" ca="1" si="32"/>
        <v>556</v>
      </c>
    </row>
    <row r="707" spans="1:14" x14ac:dyDescent="0.25">
      <c r="A707" t="s">
        <v>118</v>
      </c>
      <c r="B707" t="s">
        <v>96</v>
      </c>
      <c r="C707" t="s">
        <v>26</v>
      </c>
      <c r="D707" t="s">
        <v>36</v>
      </c>
      <c r="E707" s="2">
        <v>45336</v>
      </c>
      <c r="F707" s="2">
        <v>45353</v>
      </c>
      <c r="G707" s="2"/>
      <c r="H707" s="3">
        <v>0.73</v>
      </c>
      <c r="I707" s="4">
        <v>30000</v>
      </c>
      <c r="J707" s="4">
        <v>31700</v>
      </c>
      <c r="K707" t="s">
        <v>19</v>
      </c>
      <c r="L707" s="4">
        <f t="shared" ref="L707:L770" si="33">I707-J707</f>
        <v>-1700</v>
      </c>
      <c r="M707" t="str">
        <f t="shared" ref="M707:M770" si="34">IF(L707&lt;0, "Over Budget", "Within Budget")</f>
        <v>Over Budget</v>
      </c>
      <c r="N707">
        <f t="shared" ref="N707:N770" ca="1" si="35">IF(G707="",TODAY()-F707,G707-F707)</f>
        <v>933</v>
      </c>
    </row>
    <row r="708" spans="1:14" x14ac:dyDescent="0.25">
      <c r="A708" t="s">
        <v>79</v>
      </c>
      <c r="B708" t="s">
        <v>108</v>
      </c>
      <c r="C708" t="s">
        <v>35</v>
      </c>
      <c r="D708" t="s">
        <v>23</v>
      </c>
      <c r="E708" s="2">
        <v>45387</v>
      </c>
      <c r="F708" s="2">
        <v>45404</v>
      </c>
      <c r="G708" s="2">
        <v>45390</v>
      </c>
      <c r="H708" s="3">
        <v>0.2</v>
      </c>
      <c r="I708" s="4">
        <v>42000</v>
      </c>
      <c r="J708" s="4">
        <v>6200</v>
      </c>
      <c r="K708" t="s">
        <v>27</v>
      </c>
      <c r="L708" s="4">
        <f t="shared" si="33"/>
        <v>35800</v>
      </c>
      <c r="M708" t="str">
        <f t="shared" si="34"/>
        <v>Within Budget</v>
      </c>
      <c r="N708">
        <f t="shared" ca="1" si="35"/>
        <v>-14</v>
      </c>
    </row>
    <row r="709" spans="1:14" x14ac:dyDescent="0.25">
      <c r="A709" t="s">
        <v>103</v>
      </c>
      <c r="B709" t="s">
        <v>56</v>
      </c>
      <c r="C709" t="s">
        <v>47</v>
      </c>
      <c r="D709" t="s">
        <v>36</v>
      </c>
      <c r="E709" s="2">
        <v>45322</v>
      </c>
      <c r="F709" s="2">
        <v>45338</v>
      </c>
      <c r="G709" s="2">
        <v>45375</v>
      </c>
      <c r="H709" s="3">
        <v>1</v>
      </c>
      <c r="I709" s="4">
        <v>18000</v>
      </c>
      <c r="J709" s="4">
        <v>24900</v>
      </c>
      <c r="K709" t="s">
        <v>15</v>
      </c>
      <c r="L709" s="4">
        <f t="shared" si="33"/>
        <v>-6900</v>
      </c>
      <c r="M709" t="str">
        <f t="shared" si="34"/>
        <v>Over Budget</v>
      </c>
      <c r="N709">
        <f t="shared" ca="1" si="35"/>
        <v>37</v>
      </c>
    </row>
    <row r="710" spans="1:14" x14ac:dyDescent="0.25">
      <c r="A710" t="s">
        <v>20</v>
      </c>
      <c r="B710" t="s">
        <v>117</v>
      </c>
      <c r="C710" t="s">
        <v>54</v>
      </c>
      <c r="D710" t="s">
        <v>23</v>
      </c>
      <c r="E710" s="2">
        <v>45343</v>
      </c>
      <c r="F710" s="2">
        <v>45358</v>
      </c>
      <c r="G710" s="2"/>
      <c r="H710" s="3">
        <v>0.77</v>
      </c>
      <c r="I710" s="4">
        <v>38000</v>
      </c>
      <c r="J710" s="4">
        <v>34500</v>
      </c>
      <c r="K710" t="s">
        <v>19</v>
      </c>
      <c r="L710" s="4">
        <f t="shared" si="33"/>
        <v>3500</v>
      </c>
      <c r="M710" t="str">
        <f t="shared" si="34"/>
        <v>Within Budget</v>
      </c>
      <c r="N710">
        <f t="shared" ca="1" si="35"/>
        <v>928</v>
      </c>
    </row>
    <row r="711" spans="1:14" x14ac:dyDescent="0.25">
      <c r="A711" t="s">
        <v>66</v>
      </c>
      <c r="B711" t="s">
        <v>56</v>
      </c>
      <c r="C711" t="s">
        <v>44</v>
      </c>
      <c r="D711" t="s">
        <v>32</v>
      </c>
      <c r="E711" s="2">
        <v>45322</v>
      </c>
      <c r="F711" s="2">
        <v>45348</v>
      </c>
      <c r="G711" s="2">
        <v>45352</v>
      </c>
      <c r="H711" s="3">
        <v>1</v>
      </c>
      <c r="I711" s="4">
        <v>34000</v>
      </c>
      <c r="J711" s="4">
        <v>44700</v>
      </c>
      <c r="K711" t="s">
        <v>15</v>
      </c>
      <c r="L711" s="4">
        <f t="shared" si="33"/>
        <v>-10700</v>
      </c>
      <c r="M711" t="str">
        <f t="shared" si="34"/>
        <v>Over Budget</v>
      </c>
      <c r="N711">
        <f t="shared" ca="1" si="35"/>
        <v>4</v>
      </c>
    </row>
    <row r="712" spans="1:14" x14ac:dyDescent="0.25">
      <c r="A712" t="s">
        <v>62</v>
      </c>
      <c r="B712" t="s">
        <v>102</v>
      </c>
      <c r="C712" t="s">
        <v>35</v>
      </c>
      <c r="D712" t="s">
        <v>23</v>
      </c>
      <c r="E712" s="2">
        <v>45471</v>
      </c>
      <c r="F712" s="2">
        <v>45483</v>
      </c>
      <c r="G712" s="2">
        <v>45486</v>
      </c>
      <c r="H712" s="3">
        <v>1</v>
      </c>
      <c r="I712" s="4">
        <v>24000</v>
      </c>
      <c r="J712" s="4">
        <v>31400</v>
      </c>
      <c r="K712" t="s">
        <v>15</v>
      </c>
      <c r="L712" s="4">
        <f t="shared" si="33"/>
        <v>-7400</v>
      </c>
      <c r="M712" t="str">
        <f t="shared" si="34"/>
        <v>Over Budget</v>
      </c>
      <c r="N712">
        <f t="shared" ca="1" si="35"/>
        <v>3</v>
      </c>
    </row>
    <row r="713" spans="1:14" x14ac:dyDescent="0.25">
      <c r="A713" t="s">
        <v>62</v>
      </c>
      <c r="B713" t="s">
        <v>114</v>
      </c>
      <c r="C713" t="s">
        <v>67</v>
      </c>
      <c r="D713" t="s">
        <v>14</v>
      </c>
      <c r="E713" s="2">
        <v>45500</v>
      </c>
      <c r="F713" s="2">
        <v>45514</v>
      </c>
      <c r="G713" s="2">
        <v>45514</v>
      </c>
      <c r="H713" s="3">
        <v>1</v>
      </c>
      <c r="I713" s="4">
        <v>42000</v>
      </c>
      <c r="J713" s="4">
        <v>38400</v>
      </c>
      <c r="K713" t="s">
        <v>15</v>
      </c>
      <c r="L713" s="4">
        <f t="shared" si="33"/>
        <v>3600</v>
      </c>
      <c r="M713" t="str">
        <f t="shared" si="34"/>
        <v>Within Budget</v>
      </c>
      <c r="N713">
        <f t="shared" ca="1" si="35"/>
        <v>0</v>
      </c>
    </row>
    <row r="714" spans="1:14" x14ac:dyDescent="0.25">
      <c r="A714" t="s">
        <v>50</v>
      </c>
      <c r="B714" t="s">
        <v>108</v>
      </c>
      <c r="C714" t="s">
        <v>71</v>
      </c>
      <c r="D714" t="s">
        <v>36</v>
      </c>
      <c r="E714" s="2">
        <v>45632</v>
      </c>
      <c r="F714" s="2">
        <v>45649</v>
      </c>
      <c r="G714" s="2">
        <v>45652</v>
      </c>
      <c r="H714" s="3">
        <v>1</v>
      </c>
      <c r="I714" s="4">
        <v>31000</v>
      </c>
      <c r="J714" s="4">
        <v>29800</v>
      </c>
      <c r="K714" t="s">
        <v>15</v>
      </c>
      <c r="L714" s="4">
        <f t="shared" si="33"/>
        <v>1200</v>
      </c>
      <c r="M714" t="str">
        <f t="shared" si="34"/>
        <v>Within Budget</v>
      </c>
      <c r="N714">
        <f t="shared" ca="1" si="35"/>
        <v>3</v>
      </c>
    </row>
    <row r="715" spans="1:14" x14ac:dyDescent="0.25">
      <c r="A715" t="s">
        <v>33</v>
      </c>
      <c r="B715" t="s">
        <v>30</v>
      </c>
      <c r="C715" t="s">
        <v>39</v>
      </c>
      <c r="D715" t="s">
        <v>14</v>
      </c>
      <c r="E715" s="2">
        <v>45415</v>
      </c>
      <c r="F715" s="2">
        <v>45423</v>
      </c>
      <c r="G715" s="2"/>
      <c r="H715" s="3">
        <v>0.27</v>
      </c>
      <c r="I715" s="4">
        <v>12000</v>
      </c>
      <c r="J715" s="4">
        <v>8600</v>
      </c>
      <c r="K715" t="s">
        <v>19</v>
      </c>
      <c r="L715" s="4">
        <f t="shared" si="33"/>
        <v>3400</v>
      </c>
      <c r="M715" t="str">
        <f t="shared" si="34"/>
        <v>Within Budget</v>
      </c>
      <c r="N715">
        <f t="shared" ca="1" si="35"/>
        <v>863</v>
      </c>
    </row>
    <row r="716" spans="1:14" x14ac:dyDescent="0.25">
      <c r="A716" t="s">
        <v>99</v>
      </c>
      <c r="B716" t="s">
        <v>84</v>
      </c>
      <c r="C716" t="s">
        <v>47</v>
      </c>
      <c r="D716" t="s">
        <v>14</v>
      </c>
      <c r="E716" s="2">
        <v>45688</v>
      </c>
      <c r="F716" s="2">
        <v>45708</v>
      </c>
      <c r="G716" s="2">
        <v>45711</v>
      </c>
      <c r="H716" s="3">
        <v>1</v>
      </c>
      <c r="I716" s="4">
        <v>22000</v>
      </c>
      <c r="J716" s="4">
        <v>30800</v>
      </c>
      <c r="K716" t="s">
        <v>15</v>
      </c>
      <c r="L716" s="4">
        <f t="shared" si="33"/>
        <v>-8800</v>
      </c>
      <c r="M716" t="str">
        <f t="shared" si="34"/>
        <v>Over Budget</v>
      </c>
      <c r="N716">
        <f t="shared" ca="1" si="35"/>
        <v>3</v>
      </c>
    </row>
    <row r="717" spans="1:14" x14ac:dyDescent="0.25">
      <c r="A717" t="s">
        <v>24</v>
      </c>
      <c r="B717" t="s">
        <v>125</v>
      </c>
      <c r="C717" t="s">
        <v>28</v>
      </c>
      <c r="D717" t="s">
        <v>23</v>
      </c>
      <c r="E717" s="2">
        <v>45665</v>
      </c>
      <c r="F717" s="2">
        <v>45676</v>
      </c>
      <c r="G717" s="2">
        <v>45669</v>
      </c>
      <c r="H717" s="3">
        <v>1</v>
      </c>
      <c r="I717" s="4">
        <v>33000</v>
      </c>
      <c r="J717" s="4">
        <v>38400</v>
      </c>
      <c r="K717" t="s">
        <v>15</v>
      </c>
      <c r="L717" s="4">
        <f t="shared" si="33"/>
        <v>-5400</v>
      </c>
      <c r="M717" t="str">
        <f t="shared" si="34"/>
        <v>Over Budget</v>
      </c>
      <c r="N717">
        <f t="shared" ca="1" si="35"/>
        <v>-7</v>
      </c>
    </row>
    <row r="718" spans="1:14" x14ac:dyDescent="0.25">
      <c r="A718" t="s">
        <v>66</v>
      </c>
      <c r="B718" t="s">
        <v>69</v>
      </c>
      <c r="C718" t="s">
        <v>18</v>
      </c>
      <c r="D718" t="s">
        <v>32</v>
      </c>
      <c r="E718" s="2">
        <v>45582</v>
      </c>
      <c r="F718" s="2">
        <v>45592</v>
      </c>
      <c r="G718" s="2">
        <v>45582</v>
      </c>
      <c r="H718" s="3">
        <v>1</v>
      </c>
      <c r="I718" s="4">
        <v>3000</v>
      </c>
      <c r="J718" s="4">
        <v>2600</v>
      </c>
      <c r="K718" t="s">
        <v>15</v>
      </c>
      <c r="L718" s="4">
        <f t="shared" si="33"/>
        <v>400</v>
      </c>
      <c r="M718" t="str">
        <f t="shared" si="34"/>
        <v>Within Budget</v>
      </c>
      <c r="N718">
        <f t="shared" ca="1" si="35"/>
        <v>-10</v>
      </c>
    </row>
    <row r="719" spans="1:14" x14ac:dyDescent="0.25">
      <c r="A719" t="s">
        <v>79</v>
      </c>
      <c r="B719" t="s">
        <v>92</v>
      </c>
      <c r="C719" t="s">
        <v>67</v>
      </c>
      <c r="D719" t="s">
        <v>36</v>
      </c>
      <c r="E719" s="2">
        <v>45551</v>
      </c>
      <c r="F719" s="2">
        <v>45582</v>
      </c>
      <c r="G719" s="2">
        <v>45583</v>
      </c>
      <c r="H719" s="3">
        <v>1</v>
      </c>
      <c r="I719" s="4">
        <v>54000</v>
      </c>
      <c r="J719" s="4">
        <v>52300</v>
      </c>
      <c r="K719" t="s">
        <v>15</v>
      </c>
      <c r="L719" s="4">
        <f t="shared" si="33"/>
        <v>1700</v>
      </c>
      <c r="M719" t="str">
        <f t="shared" si="34"/>
        <v>Within Budget</v>
      </c>
      <c r="N719">
        <f t="shared" ca="1" si="35"/>
        <v>1</v>
      </c>
    </row>
    <row r="720" spans="1:14" x14ac:dyDescent="0.25">
      <c r="A720" t="s">
        <v>118</v>
      </c>
      <c r="B720" t="s">
        <v>74</v>
      </c>
      <c r="C720" t="s">
        <v>106</v>
      </c>
      <c r="D720" t="s">
        <v>36</v>
      </c>
      <c r="E720" s="2">
        <v>45805</v>
      </c>
      <c r="F720" s="2">
        <v>45820</v>
      </c>
      <c r="G720" s="2"/>
      <c r="H720" s="3">
        <v>0.24</v>
      </c>
      <c r="I720" s="4">
        <v>39000</v>
      </c>
      <c r="J720" s="4">
        <v>9100</v>
      </c>
      <c r="K720" t="s">
        <v>65</v>
      </c>
      <c r="L720" s="4">
        <f t="shared" si="33"/>
        <v>29900</v>
      </c>
      <c r="M720" t="str">
        <f t="shared" si="34"/>
        <v>Within Budget</v>
      </c>
      <c r="N720">
        <f t="shared" ca="1" si="35"/>
        <v>466</v>
      </c>
    </row>
    <row r="721" spans="1:14" x14ac:dyDescent="0.25">
      <c r="A721" t="s">
        <v>107</v>
      </c>
      <c r="B721" t="s">
        <v>75</v>
      </c>
      <c r="C721" t="s">
        <v>31</v>
      </c>
      <c r="D721" t="s">
        <v>36</v>
      </c>
      <c r="E721" s="2">
        <v>45422</v>
      </c>
      <c r="F721" s="2">
        <v>45436</v>
      </c>
      <c r="G721" s="2">
        <v>45435</v>
      </c>
      <c r="H721" s="3">
        <v>1</v>
      </c>
      <c r="I721" s="4">
        <v>18000</v>
      </c>
      <c r="J721" s="4">
        <v>18300</v>
      </c>
      <c r="K721" t="s">
        <v>15</v>
      </c>
      <c r="L721" s="4">
        <f t="shared" si="33"/>
        <v>-300</v>
      </c>
      <c r="M721" t="str">
        <f t="shared" si="34"/>
        <v>Over Budget</v>
      </c>
      <c r="N721">
        <f t="shared" ca="1" si="35"/>
        <v>-1</v>
      </c>
    </row>
    <row r="722" spans="1:14" x14ac:dyDescent="0.25">
      <c r="A722" t="s">
        <v>109</v>
      </c>
      <c r="B722" t="s">
        <v>25</v>
      </c>
      <c r="C722" t="s">
        <v>67</v>
      </c>
      <c r="D722" t="s">
        <v>14</v>
      </c>
      <c r="E722" s="2">
        <v>45667</v>
      </c>
      <c r="F722" s="2">
        <v>45675</v>
      </c>
      <c r="G722" s="2">
        <v>45676</v>
      </c>
      <c r="H722" s="3">
        <v>1</v>
      </c>
      <c r="I722" s="4">
        <v>13000</v>
      </c>
      <c r="J722" s="4">
        <v>16800</v>
      </c>
      <c r="K722" t="s">
        <v>15</v>
      </c>
      <c r="L722" s="4">
        <f t="shared" si="33"/>
        <v>-3800</v>
      </c>
      <c r="M722" t="str">
        <f t="shared" si="34"/>
        <v>Over Budget</v>
      </c>
      <c r="N722">
        <f t="shared" ca="1" si="35"/>
        <v>1</v>
      </c>
    </row>
    <row r="723" spans="1:14" x14ac:dyDescent="0.25">
      <c r="A723" t="s">
        <v>33</v>
      </c>
      <c r="B723" t="s">
        <v>123</v>
      </c>
      <c r="C723" t="s">
        <v>61</v>
      </c>
      <c r="D723" t="s">
        <v>14</v>
      </c>
      <c r="E723" s="2">
        <v>45783</v>
      </c>
      <c r="F723" s="2">
        <v>45867</v>
      </c>
      <c r="G723" s="2"/>
      <c r="H723" s="3">
        <v>0</v>
      </c>
      <c r="I723" s="4">
        <v>168000</v>
      </c>
      <c r="J723" s="4">
        <v>0</v>
      </c>
      <c r="K723" t="s">
        <v>48</v>
      </c>
      <c r="L723" s="4">
        <f t="shared" si="33"/>
        <v>168000</v>
      </c>
      <c r="M723" t="str">
        <f t="shared" si="34"/>
        <v>Within Budget</v>
      </c>
      <c r="N723">
        <f t="shared" ca="1" si="35"/>
        <v>419</v>
      </c>
    </row>
    <row r="724" spans="1:14" x14ac:dyDescent="0.25">
      <c r="A724" t="s">
        <v>57</v>
      </c>
      <c r="B724" t="s">
        <v>64</v>
      </c>
      <c r="C724" t="s">
        <v>87</v>
      </c>
      <c r="D724" t="s">
        <v>23</v>
      </c>
      <c r="E724" s="2">
        <v>45458</v>
      </c>
      <c r="F724" s="2">
        <v>45481</v>
      </c>
      <c r="G724" s="2">
        <v>45519</v>
      </c>
      <c r="H724" s="3">
        <v>1</v>
      </c>
      <c r="I724" s="4">
        <v>50000</v>
      </c>
      <c r="J724" s="4">
        <v>57500</v>
      </c>
      <c r="K724" t="s">
        <v>15</v>
      </c>
      <c r="L724" s="4">
        <f t="shared" si="33"/>
        <v>-7500</v>
      </c>
      <c r="M724" t="str">
        <f t="shared" si="34"/>
        <v>Over Budget</v>
      </c>
      <c r="N724">
        <f t="shared" ca="1" si="35"/>
        <v>38</v>
      </c>
    </row>
    <row r="725" spans="1:14" x14ac:dyDescent="0.25">
      <c r="A725" t="s">
        <v>29</v>
      </c>
      <c r="B725" t="s">
        <v>102</v>
      </c>
      <c r="C725" t="s">
        <v>112</v>
      </c>
      <c r="D725" t="s">
        <v>23</v>
      </c>
      <c r="E725" s="2">
        <v>45463</v>
      </c>
      <c r="F725" s="2">
        <v>45469</v>
      </c>
      <c r="G725" s="2">
        <v>45474</v>
      </c>
      <c r="H725" s="3">
        <v>1</v>
      </c>
      <c r="I725" s="4">
        <v>9000</v>
      </c>
      <c r="J725" s="4">
        <v>9700</v>
      </c>
      <c r="K725" t="s">
        <v>15</v>
      </c>
      <c r="L725" s="4">
        <f t="shared" si="33"/>
        <v>-700</v>
      </c>
      <c r="M725" t="str">
        <f t="shared" si="34"/>
        <v>Over Budget</v>
      </c>
      <c r="N725">
        <f t="shared" ca="1" si="35"/>
        <v>5</v>
      </c>
    </row>
    <row r="726" spans="1:14" x14ac:dyDescent="0.25">
      <c r="A726" t="s">
        <v>62</v>
      </c>
      <c r="B726" t="s">
        <v>93</v>
      </c>
      <c r="C726" t="s">
        <v>26</v>
      </c>
      <c r="D726" t="s">
        <v>36</v>
      </c>
      <c r="E726" s="2">
        <v>45767</v>
      </c>
      <c r="F726" s="2">
        <v>45788</v>
      </c>
      <c r="G726" s="2"/>
      <c r="H726" s="3">
        <v>0.14000000000000001</v>
      </c>
      <c r="I726" s="4">
        <v>50000</v>
      </c>
      <c r="J726" s="4">
        <v>7200</v>
      </c>
      <c r="K726" t="s">
        <v>65</v>
      </c>
      <c r="L726" s="4">
        <f t="shared" si="33"/>
        <v>42800</v>
      </c>
      <c r="M726" t="str">
        <f t="shared" si="34"/>
        <v>Within Budget</v>
      </c>
      <c r="N726">
        <f t="shared" ca="1" si="35"/>
        <v>498</v>
      </c>
    </row>
    <row r="727" spans="1:14" x14ac:dyDescent="0.25">
      <c r="A727" t="s">
        <v>29</v>
      </c>
      <c r="B727" t="s">
        <v>70</v>
      </c>
      <c r="C727" t="s">
        <v>47</v>
      </c>
      <c r="D727" t="s">
        <v>14</v>
      </c>
      <c r="E727" s="2">
        <v>45476</v>
      </c>
      <c r="F727" s="2">
        <v>45483</v>
      </c>
      <c r="G727" s="2">
        <v>45477</v>
      </c>
      <c r="H727" s="3">
        <v>0</v>
      </c>
      <c r="I727" s="4">
        <v>15000</v>
      </c>
      <c r="J727" s="4">
        <v>5400</v>
      </c>
      <c r="K727" t="s">
        <v>27</v>
      </c>
      <c r="L727" s="4">
        <f t="shared" si="33"/>
        <v>9600</v>
      </c>
      <c r="M727" t="str">
        <f t="shared" si="34"/>
        <v>Within Budget</v>
      </c>
      <c r="N727">
        <f t="shared" ca="1" si="35"/>
        <v>-6</v>
      </c>
    </row>
    <row r="728" spans="1:14" x14ac:dyDescent="0.25">
      <c r="A728" t="s">
        <v>103</v>
      </c>
      <c r="B728" t="s">
        <v>125</v>
      </c>
      <c r="C728" t="s">
        <v>26</v>
      </c>
      <c r="D728" t="s">
        <v>32</v>
      </c>
      <c r="E728" s="2">
        <v>45790</v>
      </c>
      <c r="F728" s="2">
        <v>45796</v>
      </c>
      <c r="G728" s="2"/>
      <c r="H728" s="3">
        <v>0.91</v>
      </c>
      <c r="I728" s="4">
        <v>9000</v>
      </c>
      <c r="J728" s="4">
        <v>9200</v>
      </c>
      <c r="K728" t="s">
        <v>65</v>
      </c>
      <c r="L728" s="4">
        <f t="shared" si="33"/>
        <v>-200</v>
      </c>
      <c r="M728" t="str">
        <f t="shared" si="34"/>
        <v>Over Budget</v>
      </c>
      <c r="N728">
        <f t="shared" ca="1" si="35"/>
        <v>490</v>
      </c>
    </row>
    <row r="729" spans="1:14" x14ac:dyDescent="0.25">
      <c r="A729" t="s">
        <v>79</v>
      </c>
      <c r="B729" t="s">
        <v>64</v>
      </c>
      <c r="C729" t="s">
        <v>97</v>
      </c>
      <c r="D729" t="s">
        <v>36</v>
      </c>
      <c r="E729" s="2">
        <v>45756</v>
      </c>
      <c r="F729" s="2">
        <v>45774</v>
      </c>
      <c r="G729" s="2"/>
      <c r="H729" s="3">
        <v>0.22</v>
      </c>
      <c r="I729" s="4">
        <v>46000</v>
      </c>
      <c r="J729" s="4">
        <v>8600</v>
      </c>
      <c r="K729" t="s">
        <v>65</v>
      </c>
      <c r="L729" s="4">
        <f t="shared" si="33"/>
        <v>37400</v>
      </c>
      <c r="M729" t="str">
        <f t="shared" si="34"/>
        <v>Within Budget</v>
      </c>
      <c r="N729">
        <f t="shared" ca="1" si="35"/>
        <v>512</v>
      </c>
    </row>
    <row r="730" spans="1:14" x14ac:dyDescent="0.25">
      <c r="A730" t="s">
        <v>107</v>
      </c>
      <c r="B730" t="s">
        <v>110</v>
      </c>
      <c r="C730" t="s">
        <v>100</v>
      </c>
      <c r="D730" t="s">
        <v>36</v>
      </c>
      <c r="E730" s="2">
        <v>45394</v>
      </c>
      <c r="F730" s="2">
        <v>45402</v>
      </c>
      <c r="G730" s="2"/>
      <c r="H730" s="3">
        <v>0.46</v>
      </c>
      <c r="I730" s="4">
        <v>5000</v>
      </c>
      <c r="J730" s="4">
        <v>3500</v>
      </c>
      <c r="K730" t="s">
        <v>19</v>
      </c>
      <c r="L730" s="4">
        <f t="shared" si="33"/>
        <v>1500</v>
      </c>
      <c r="M730" t="str">
        <f t="shared" si="34"/>
        <v>Within Budget</v>
      </c>
      <c r="N730">
        <f t="shared" ca="1" si="35"/>
        <v>884</v>
      </c>
    </row>
    <row r="731" spans="1:14" x14ac:dyDescent="0.25">
      <c r="A731" t="s">
        <v>33</v>
      </c>
      <c r="B731" t="s">
        <v>88</v>
      </c>
      <c r="C731" t="s">
        <v>52</v>
      </c>
      <c r="D731" t="s">
        <v>23</v>
      </c>
      <c r="E731" s="2">
        <v>45602</v>
      </c>
      <c r="F731" s="2">
        <v>45616</v>
      </c>
      <c r="G731" s="2"/>
      <c r="H731" s="3">
        <v>0.61</v>
      </c>
      <c r="I731" s="4">
        <v>15000</v>
      </c>
      <c r="J731" s="4">
        <v>9200</v>
      </c>
      <c r="K731" t="s">
        <v>19</v>
      </c>
      <c r="L731" s="4">
        <f t="shared" si="33"/>
        <v>5800</v>
      </c>
      <c r="M731" t="str">
        <f t="shared" si="34"/>
        <v>Within Budget</v>
      </c>
      <c r="N731">
        <f t="shared" ca="1" si="35"/>
        <v>670</v>
      </c>
    </row>
    <row r="732" spans="1:14" x14ac:dyDescent="0.25">
      <c r="A732" t="s">
        <v>72</v>
      </c>
      <c r="B732" t="s">
        <v>43</v>
      </c>
      <c r="C732" t="s">
        <v>22</v>
      </c>
      <c r="D732" t="s">
        <v>14</v>
      </c>
      <c r="E732" s="2">
        <v>45480</v>
      </c>
      <c r="F732" s="2">
        <v>45522</v>
      </c>
      <c r="G732" s="2">
        <v>45484</v>
      </c>
      <c r="H732" s="3">
        <v>0</v>
      </c>
      <c r="I732" s="4">
        <v>64000</v>
      </c>
      <c r="J732" s="4">
        <v>16100</v>
      </c>
      <c r="K732" t="s">
        <v>27</v>
      </c>
      <c r="L732" s="4">
        <f t="shared" si="33"/>
        <v>47900</v>
      </c>
      <c r="M732" t="str">
        <f t="shared" si="34"/>
        <v>Within Budget</v>
      </c>
      <c r="N732">
        <f t="shared" ca="1" si="35"/>
        <v>-38</v>
      </c>
    </row>
    <row r="733" spans="1:14" x14ac:dyDescent="0.25">
      <c r="A733" t="s">
        <v>83</v>
      </c>
      <c r="B733" t="s">
        <v>46</v>
      </c>
      <c r="C733" t="s">
        <v>44</v>
      </c>
      <c r="D733" t="s">
        <v>14</v>
      </c>
      <c r="E733" s="2">
        <v>45527</v>
      </c>
      <c r="F733" s="2">
        <v>45542</v>
      </c>
      <c r="G733" s="2">
        <v>45535</v>
      </c>
      <c r="H733" s="3">
        <v>1</v>
      </c>
      <c r="I733" s="4">
        <v>17000</v>
      </c>
      <c r="J733" s="4">
        <v>18700</v>
      </c>
      <c r="K733" t="s">
        <v>15</v>
      </c>
      <c r="L733" s="4">
        <f t="shared" si="33"/>
        <v>-1700</v>
      </c>
      <c r="M733" t="str">
        <f t="shared" si="34"/>
        <v>Over Budget</v>
      </c>
      <c r="N733">
        <f t="shared" ca="1" si="35"/>
        <v>-7</v>
      </c>
    </row>
    <row r="734" spans="1:14" x14ac:dyDescent="0.25">
      <c r="A734" t="s">
        <v>91</v>
      </c>
      <c r="B734" t="s">
        <v>80</v>
      </c>
      <c r="C734" t="s">
        <v>18</v>
      </c>
      <c r="D734" t="s">
        <v>32</v>
      </c>
      <c r="E734" s="2">
        <v>45633</v>
      </c>
      <c r="F734" s="2">
        <v>45646</v>
      </c>
      <c r="G734" s="2">
        <v>45646</v>
      </c>
      <c r="H734" s="3">
        <v>1</v>
      </c>
      <c r="I734" s="4">
        <v>44000</v>
      </c>
      <c r="J734" s="4">
        <v>58400</v>
      </c>
      <c r="K734" t="s">
        <v>15</v>
      </c>
      <c r="L734" s="4">
        <f t="shared" si="33"/>
        <v>-14400</v>
      </c>
      <c r="M734" t="str">
        <f t="shared" si="34"/>
        <v>Over Budget</v>
      </c>
      <c r="N734">
        <f t="shared" ca="1" si="35"/>
        <v>0</v>
      </c>
    </row>
    <row r="735" spans="1:14" x14ac:dyDescent="0.25">
      <c r="A735" t="s">
        <v>24</v>
      </c>
      <c r="B735" t="s">
        <v>108</v>
      </c>
      <c r="C735" t="s">
        <v>71</v>
      </c>
      <c r="D735" t="s">
        <v>23</v>
      </c>
      <c r="E735" s="2">
        <v>45460</v>
      </c>
      <c r="F735" s="2">
        <v>45471</v>
      </c>
      <c r="G735" s="2">
        <v>45464</v>
      </c>
      <c r="H735" s="3">
        <v>1</v>
      </c>
      <c r="I735" s="4">
        <v>22000</v>
      </c>
      <c r="J735" s="4">
        <v>23300</v>
      </c>
      <c r="K735" t="s">
        <v>15</v>
      </c>
      <c r="L735" s="4">
        <f t="shared" si="33"/>
        <v>-1300</v>
      </c>
      <c r="M735" t="str">
        <f t="shared" si="34"/>
        <v>Over Budget</v>
      </c>
      <c r="N735">
        <f t="shared" ca="1" si="35"/>
        <v>-7</v>
      </c>
    </row>
    <row r="736" spans="1:14" x14ac:dyDescent="0.25">
      <c r="A736" t="s">
        <v>118</v>
      </c>
      <c r="B736" t="s">
        <v>49</v>
      </c>
      <c r="C736" t="s">
        <v>52</v>
      </c>
      <c r="D736" t="s">
        <v>23</v>
      </c>
      <c r="E736" s="2">
        <v>45699</v>
      </c>
      <c r="F736" s="2">
        <v>45722</v>
      </c>
      <c r="G736" s="2"/>
      <c r="H736" s="3">
        <v>0.49</v>
      </c>
      <c r="I736" s="4">
        <v>17000</v>
      </c>
      <c r="J736" s="4">
        <v>20000</v>
      </c>
      <c r="K736" t="s">
        <v>19</v>
      </c>
      <c r="L736" s="4">
        <f t="shared" si="33"/>
        <v>-3000</v>
      </c>
      <c r="M736" t="str">
        <f t="shared" si="34"/>
        <v>Over Budget</v>
      </c>
      <c r="N736">
        <f t="shared" ca="1" si="35"/>
        <v>564</v>
      </c>
    </row>
    <row r="737" spans="1:14" x14ac:dyDescent="0.25">
      <c r="A737" t="s">
        <v>29</v>
      </c>
      <c r="B737" t="s">
        <v>49</v>
      </c>
      <c r="C737" t="s">
        <v>44</v>
      </c>
      <c r="D737" t="s">
        <v>32</v>
      </c>
      <c r="E737" s="2">
        <v>45504</v>
      </c>
      <c r="F737" s="2">
        <v>45534</v>
      </c>
      <c r="G737" s="2">
        <v>45564</v>
      </c>
      <c r="H737" s="3">
        <v>1</v>
      </c>
      <c r="I737" s="4">
        <v>41000</v>
      </c>
      <c r="J737" s="4">
        <v>50700</v>
      </c>
      <c r="K737" t="s">
        <v>15</v>
      </c>
      <c r="L737" s="4">
        <f t="shared" si="33"/>
        <v>-9700</v>
      </c>
      <c r="M737" t="str">
        <f t="shared" si="34"/>
        <v>Over Budget</v>
      </c>
      <c r="N737">
        <f t="shared" ca="1" si="35"/>
        <v>30</v>
      </c>
    </row>
    <row r="738" spans="1:14" x14ac:dyDescent="0.25">
      <c r="A738" t="s">
        <v>91</v>
      </c>
      <c r="B738" t="s">
        <v>40</v>
      </c>
      <c r="C738" t="s">
        <v>22</v>
      </c>
      <c r="D738" t="s">
        <v>32</v>
      </c>
      <c r="E738" s="2">
        <v>45543</v>
      </c>
      <c r="F738" s="2">
        <v>45566</v>
      </c>
      <c r="G738" s="2">
        <v>45590</v>
      </c>
      <c r="H738" s="3">
        <v>1</v>
      </c>
      <c r="I738" s="4">
        <v>47000</v>
      </c>
      <c r="J738" s="4">
        <v>64900</v>
      </c>
      <c r="K738" t="s">
        <v>15</v>
      </c>
      <c r="L738" s="4">
        <f t="shared" si="33"/>
        <v>-17900</v>
      </c>
      <c r="M738" t="str">
        <f t="shared" si="34"/>
        <v>Over Budget</v>
      </c>
      <c r="N738">
        <f t="shared" ca="1" si="35"/>
        <v>24</v>
      </c>
    </row>
    <row r="739" spans="1:14" x14ac:dyDescent="0.25">
      <c r="A739" t="s">
        <v>24</v>
      </c>
      <c r="B739" t="s">
        <v>63</v>
      </c>
      <c r="C739" t="s">
        <v>44</v>
      </c>
      <c r="D739" t="s">
        <v>36</v>
      </c>
      <c r="E739" s="2">
        <v>45455</v>
      </c>
      <c r="F739" s="2">
        <v>45463</v>
      </c>
      <c r="G739" s="2">
        <v>45457</v>
      </c>
      <c r="H739" s="3">
        <v>0.1</v>
      </c>
      <c r="I739" s="4">
        <v>5000</v>
      </c>
      <c r="J739" s="4">
        <v>900</v>
      </c>
      <c r="K739" t="s">
        <v>27</v>
      </c>
      <c r="L739" s="4">
        <f t="shared" si="33"/>
        <v>4100</v>
      </c>
      <c r="M739" t="str">
        <f t="shared" si="34"/>
        <v>Within Budget</v>
      </c>
      <c r="N739">
        <f t="shared" ca="1" si="35"/>
        <v>-6</v>
      </c>
    </row>
    <row r="740" spans="1:14" x14ac:dyDescent="0.25">
      <c r="A740" t="s">
        <v>91</v>
      </c>
      <c r="B740" t="s">
        <v>38</v>
      </c>
      <c r="C740" t="s">
        <v>22</v>
      </c>
      <c r="D740" t="s">
        <v>14</v>
      </c>
      <c r="E740" s="2">
        <v>45399</v>
      </c>
      <c r="F740" s="2">
        <v>45428</v>
      </c>
      <c r="G740" s="2">
        <v>45421</v>
      </c>
      <c r="H740" s="3">
        <v>1</v>
      </c>
      <c r="I740" s="4">
        <v>28000</v>
      </c>
      <c r="J740" s="4">
        <v>32200</v>
      </c>
      <c r="K740" t="s">
        <v>15</v>
      </c>
      <c r="L740" s="4">
        <f t="shared" si="33"/>
        <v>-4200</v>
      </c>
      <c r="M740" t="str">
        <f t="shared" si="34"/>
        <v>Over Budget</v>
      </c>
      <c r="N740">
        <f t="shared" ca="1" si="35"/>
        <v>-7</v>
      </c>
    </row>
    <row r="741" spans="1:14" x14ac:dyDescent="0.25">
      <c r="A741" t="s">
        <v>16</v>
      </c>
      <c r="B741" t="s">
        <v>70</v>
      </c>
      <c r="C741" t="s">
        <v>31</v>
      </c>
      <c r="D741" t="s">
        <v>36</v>
      </c>
      <c r="E741" s="2">
        <v>45631</v>
      </c>
      <c r="F741" s="2">
        <v>45641</v>
      </c>
      <c r="G741" s="2">
        <v>45642</v>
      </c>
      <c r="H741" s="3">
        <v>1</v>
      </c>
      <c r="I741" s="4">
        <v>11000</v>
      </c>
      <c r="J741" s="4">
        <v>9800</v>
      </c>
      <c r="K741" t="s">
        <v>15</v>
      </c>
      <c r="L741" s="4">
        <f t="shared" si="33"/>
        <v>1200</v>
      </c>
      <c r="M741" t="str">
        <f t="shared" si="34"/>
        <v>Within Budget</v>
      </c>
      <c r="N741">
        <f t="shared" ca="1" si="35"/>
        <v>1</v>
      </c>
    </row>
    <row r="742" spans="1:14" x14ac:dyDescent="0.25">
      <c r="A742" t="s">
        <v>104</v>
      </c>
      <c r="B742" t="s">
        <v>95</v>
      </c>
      <c r="C742" t="s">
        <v>61</v>
      </c>
      <c r="D742" t="s">
        <v>14</v>
      </c>
      <c r="E742" s="2">
        <v>45653</v>
      </c>
      <c r="F742" s="2">
        <v>45674</v>
      </c>
      <c r="G742" s="2">
        <v>45685</v>
      </c>
      <c r="H742" s="3">
        <v>1</v>
      </c>
      <c r="I742" s="4">
        <v>49000</v>
      </c>
      <c r="J742" s="4">
        <v>62700</v>
      </c>
      <c r="K742" t="s">
        <v>15</v>
      </c>
      <c r="L742" s="4">
        <f t="shared" si="33"/>
        <v>-13700</v>
      </c>
      <c r="M742" t="str">
        <f t="shared" si="34"/>
        <v>Over Budget</v>
      </c>
      <c r="N742">
        <f t="shared" ca="1" si="35"/>
        <v>11</v>
      </c>
    </row>
    <row r="743" spans="1:14" x14ac:dyDescent="0.25">
      <c r="A743" t="s">
        <v>120</v>
      </c>
      <c r="B743" t="s">
        <v>114</v>
      </c>
      <c r="C743" t="s">
        <v>54</v>
      </c>
      <c r="D743" t="s">
        <v>23</v>
      </c>
      <c r="E743" s="2">
        <v>45528</v>
      </c>
      <c r="F743" s="2">
        <v>45559</v>
      </c>
      <c r="G743" s="2">
        <v>45561</v>
      </c>
      <c r="H743" s="3">
        <v>1</v>
      </c>
      <c r="I743" s="4">
        <v>33000</v>
      </c>
      <c r="J743" s="4">
        <v>29800</v>
      </c>
      <c r="K743" t="s">
        <v>15</v>
      </c>
      <c r="L743" s="4">
        <f t="shared" si="33"/>
        <v>3200</v>
      </c>
      <c r="M743" t="str">
        <f t="shared" si="34"/>
        <v>Within Budget</v>
      </c>
      <c r="N743">
        <f t="shared" ca="1" si="35"/>
        <v>2</v>
      </c>
    </row>
    <row r="744" spans="1:14" x14ac:dyDescent="0.25">
      <c r="A744" t="s">
        <v>29</v>
      </c>
      <c r="B744" t="s">
        <v>85</v>
      </c>
      <c r="C744" t="s">
        <v>100</v>
      </c>
      <c r="D744" t="s">
        <v>36</v>
      </c>
      <c r="E744" s="2">
        <v>45569</v>
      </c>
      <c r="F744" s="2">
        <v>45602</v>
      </c>
      <c r="G744" s="2">
        <v>45571</v>
      </c>
      <c r="H744" s="3">
        <v>0.25</v>
      </c>
      <c r="I744" s="4">
        <v>95000</v>
      </c>
      <c r="J744" s="4">
        <v>36400</v>
      </c>
      <c r="K744" t="s">
        <v>27</v>
      </c>
      <c r="L744" s="4">
        <f t="shared" si="33"/>
        <v>58600</v>
      </c>
      <c r="M744" t="str">
        <f t="shared" si="34"/>
        <v>Within Budget</v>
      </c>
      <c r="N744">
        <f t="shared" ca="1" si="35"/>
        <v>-31</v>
      </c>
    </row>
    <row r="745" spans="1:14" x14ac:dyDescent="0.25">
      <c r="A745" t="s">
        <v>53</v>
      </c>
      <c r="B745" t="s">
        <v>119</v>
      </c>
      <c r="C745" t="s">
        <v>113</v>
      </c>
      <c r="D745" t="s">
        <v>14</v>
      </c>
      <c r="E745" s="2">
        <v>45380</v>
      </c>
      <c r="F745" s="2">
        <v>45393</v>
      </c>
      <c r="G745" s="2">
        <v>45407</v>
      </c>
      <c r="H745" s="3">
        <v>1</v>
      </c>
      <c r="I745" s="4">
        <v>23000</v>
      </c>
      <c r="J745" s="4">
        <v>29300</v>
      </c>
      <c r="K745" t="s">
        <v>15</v>
      </c>
      <c r="L745" s="4">
        <f t="shared" si="33"/>
        <v>-6300</v>
      </c>
      <c r="M745" t="str">
        <f t="shared" si="34"/>
        <v>Over Budget</v>
      </c>
      <c r="N745">
        <f t="shared" ca="1" si="35"/>
        <v>14</v>
      </c>
    </row>
    <row r="746" spans="1:14" x14ac:dyDescent="0.25">
      <c r="A746" t="s">
        <v>24</v>
      </c>
      <c r="B746" t="s">
        <v>78</v>
      </c>
      <c r="C746" t="s">
        <v>105</v>
      </c>
      <c r="D746" t="s">
        <v>23</v>
      </c>
      <c r="E746" s="2">
        <v>45334</v>
      </c>
      <c r="F746" s="2">
        <v>45356</v>
      </c>
      <c r="G746" s="2"/>
      <c r="H746" s="3">
        <v>0.32</v>
      </c>
      <c r="I746" s="4">
        <v>49000</v>
      </c>
      <c r="J746" s="4">
        <v>48500</v>
      </c>
      <c r="K746" t="s">
        <v>19</v>
      </c>
      <c r="L746" s="4">
        <f t="shared" si="33"/>
        <v>500</v>
      </c>
      <c r="M746" t="str">
        <f t="shared" si="34"/>
        <v>Within Budget</v>
      </c>
      <c r="N746">
        <f t="shared" ca="1" si="35"/>
        <v>930</v>
      </c>
    </row>
    <row r="747" spans="1:14" x14ac:dyDescent="0.25">
      <c r="A747" t="s">
        <v>20</v>
      </c>
      <c r="B747" t="s">
        <v>75</v>
      </c>
      <c r="C747" t="s">
        <v>31</v>
      </c>
      <c r="D747" t="s">
        <v>14</v>
      </c>
      <c r="E747" s="2">
        <v>45553</v>
      </c>
      <c r="F747" s="2">
        <v>45586</v>
      </c>
      <c r="G747" s="2"/>
      <c r="H747" s="3">
        <v>0.75</v>
      </c>
      <c r="I747" s="4">
        <v>91000</v>
      </c>
      <c r="J747" s="4">
        <v>71300</v>
      </c>
      <c r="K747" t="s">
        <v>19</v>
      </c>
      <c r="L747" s="4">
        <f t="shared" si="33"/>
        <v>19700</v>
      </c>
      <c r="M747" t="str">
        <f t="shared" si="34"/>
        <v>Within Budget</v>
      </c>
      <c r="N747">
        <f t="shared" ca="1" si="35"/>
        <v>700</v>
      </c>
    </row>
    <row r="748" spans="1:14" x14ac:dyDescent="0.25">
      <c r="A748" t="s">
        <v>99</v>
      </c>
      <c r="B748" t="s">
        <v>124</v>
      </c>
      <c r="C748" t="s">
        <v>52</v>
      </c>
      <c r="D748" t="s">
        <v>14</v>
      </c>
      <c r="E748" s="2">
        <v>45352</v>
      </c>
      <c r="F748" s="2">
        <v>45375</v>
      </c>
      <c r="G748" s="2"/>
      <c r="H748" s="3">
        <v>0.62</v>
      </c>
      <c r="I748" s="4">
        <v>44000</v>
      </c>
      <c r="J748" s="4">
        <v>43800</v>
      </c>
      <c r="K748" t="s">
        <v>19</v>
      </c>
      <c r="L748" s="4">
        <f t="shared" si="33"/>
        <v>200</v>
      </c>
      <c r="M748" t="str">
        <f t="shared" si="34"/>
        <v>Within Budget</v>
      </c>
      <c r="N748">
        <f t="shared" ca="1" si="35"/>
        <v>911</v>
      </c>
    </row>
    <row r="749" spans="1:14" x14ac:dyDescent="0.25">
      <c r="A749" t="s">
        <v>20</v>
      </c>
      <c r="B749" t="s">
        <v>40</v>
      </c>
      <c r="C749" t="s">
        <v>67</v>
      </c>
      <c r="D749" t="s">
        <v>36</v>
      </c>
      <c r="E749" s="2">
        <v>45560</v>
      </c>
      <c r="F749" s="2">
        <v>45585</v>
      </c>
      <c r="G749" s="2">
        <v>45586</v>
      </c>
      <c r="H749" s="3">
        <v>1</v>
      </c>
      <c r="I749" s="4">
        <v>50000</v>
      </c>
      <c r="J749" s="4">
        <v>57600</v>
      </c>
      <c r="K749" t="s">
        <v>15</v>
      </c>
      <c r="L749" s="4">
        <f t="shared" si="33"/>
        <v>-7600</v>
      </c>
      <c r="M749" t="str">
        <f t="shared" si="34"/>
        <v>Over Budget</v>
      </c>
      <c r="N749">
        <f t="shared" ca="1" si="35"/>
        <v>1</v>
      </c>
    </row>
    <row r="750" spans="1:14" x14ac:dyDescent="0.25">
      <c r="A750" t="s">
        <v>62</v>
      </c>
      <c r="B750" t="s">
        <v>80</v>
      </c>
      <c r="C750" t="s">
        <v>60</v>
      </c>
      <c r="D750" t="s">
        <v>36</v>
      </c>
      <c r="E750" s="2">
        <v>45765</v>
      </c>
      <c r="F750" s="2">
        <v>45778</v>
      </c>
      <c r="G750" s="2"/>
      <c r="H750" s="3">
        <v>0.41</v>
      </c>
      <c r="I750" s="4">
        <v>12000</v>
      </c>
      <c r="J750" s="4">
        <v>5700</v>
      </c>
      <c r="K750" t="s">
        <v>65</v>
      </c>
      <c r="L750" s="4">
        <f t="shared" si="33"/>
        <v>6300</v>
      </c>
      <c r="M750" t="str">
        <f t="shared" si="34"/>
        <v>Within Budget</v>
      </c>
      <c r="N750">
        <f t="shared" ca="1" si="35"/>
        <v>508</v>
      </c>
    </row>
    <row r="751" spans="1:14" x14ac:dyDescent="0.25">
      <c r="A751" t="s">
        <v>79</v>
      </c>
      <c r="B751" t="s">
        <v>59</v>
      </c>
      <c r="C751" t="s">
        <v>67</v>
      </c>
      <c r="D751" t="s">
        <v>23</v>
      </c>
      <c r="E751" s="2">
        <v>45365</v>
      </c>
      <c r="F751" s="2">
        <v>45391</v>
      </c>
      <c r="G751" s="2">
        <v>45432</v>
      </c>
      <c r="H751" s="3">
        <v>1</v>
      </c>
      <c r="I751" s="4">
        <v>18000</v>
      </c>
      <c r="J751" s="4">
        <v>15800</v>
      </c>
      <c r="K751" t="s">
        <v>15</v>
      </c>
      <c r="L751" s="4">
        <f t="shared" si="33"/>
        <v>2200</v>
      </c>
      <c r="M751" t="str">
        <f t="shared" si="34"/>
        <v>Within Budget</v>
      </c>
      <c r="N751">
        <f t="shared" ca="1" si="35"/>
        <v>41</v>
      </c>
    </row>
    <row r="752" spans="1:14" x14ac:dyDescent="0.25">
      <c r="A752" t="s">
        <v>91</v>
      </c>
      <c r="B752" t="s">
        <v>76</v>
      </c>
      <c r="C752" t="s">
        <v>28</v>
      </c>
      <c r="D752" t="s">
        <v>32</v>
      </c>
      <c r="E752" s="2">
        <v>45637</v>
      </c>
      <c r="F752" s="2">
        <v>45654</v>
      </c>
      <c r="G752" s="2">
        <v>45661</v>
      </c>
      <c r="H752" s="3">
        <v>1</v>
      </c>
      <c r="I752" s="4">
        <v>42000</v>
      </c>
      <c r="J752" s="4">
        <v>35800</v>
      </c>
      <c r="K752" t="s">
        <v>15</v>
      </c>
      <c r="L752" s="4">
        <f t="shared" si="33"/>
        <v>6200</v>
      </c>
      <c r="M752" t="str">
        <f t="shared" si="34"/>
        <v>Within Budget</v>
      </c>
      <c r="N752">
        <f t="shared" ca="1" si="35"/>
        <v>7</v>
      </c>
    </row>
    <row r="753" spans="1:14" x14ac:dyDescent="0.25">
      <c r="A753" t="s">
        <v>24</v>
      </c>
      <c r="B753" t="s">
        <v>64</v>
      </c>
      <c r="C753" t="s">
        <v>97</v>
      </c>
      <c r="D753" t="s">
        <v>36</v>
      </c>
      <c r="E753" s="2">
        <v>45780</v>
      </c>
      <c r="F753" s="2">
        <v>45790</v>
      </c>
      <c r="G753" s="2"/>
      <c r="H753" s="3">
        <v>0</v>
      </c>
      <c r="I753" s="4">
        <v>9000</v>
      </c>
      <c r="J753" s="4">
        <v>0</v>
      </c>
      <c r="K753" t="s">
        <v>48</v>
      </c>
      <c r="L753" s="4">
        <f t="shared" si="33"/>
        <v>9000</v>
      </c>
      <c r="M753" t="str">
        <f t="shared" si="34"/>
        <v>Within Budget</v>
      </c>
      <c r="N753">
        <f t="shared" ca="1" si="35"/>
        <v>496</v>
      </c>
    </row>
    <row r="754" spans="1:14" x14ac:dyDescent="0.25">
      <c r="A754" t="s">
        <v>104</v>
      </c>
      <c r="B754" t="s">
        <v>64</v>
      </c>
      <c r="C754" t="s">
        <v>100</v>
      </c>
      <c r="D754" t="s">
        <v>14</v>
      </c>
      <c r="E754" s="2">
        <v>45406</v>
      </c>
      <c r="F754" s="2">
        <v>45423</v>
      </c>
      <c r="G754" s="2">
        <v>45437</v>
      </c>
      <c r="H754" s="3">
        <v>1</v>
      </c>
      <c r="I754" s="4">
        <v>10000</v>
      </c>
      <c r="J754" s="4">
        <v>13600</v>
      </c>
      <c r="K754" t="s">
        <v>15</v>
      </c>
      <c r="L754" s="4">
        <f t="shared" si="33"/>
        <v>-3600</v>
      </c>
      <c r="M754" t="str">
        <f t="shared" si="34"/>
        <v>Over Budget</v>
      </c>
      <c r="N754">
        <f t="shared" ca="1" si="35"/>
        <v>14</v>
      </c>
    </row>
    <row r="755" spans="1:14" x14ac:dyDescent="0.25">
      <c r="A755" t="s">
        <v>109</v>
      </c>
      <c r="B755" t="s">
        <v>56</v>
      </c>
      <c r="C755" t="s">
        <v>18</v>
      </c>
      <c r="D755" t="s">
        <v>23</v>
      </c>
      <c r="E755" s="2">
        <v>45801</v>
      </c>
      <c r="F755" s="2">
        <v>45833</v>
      </c>
      <c r="G755" s="2"/>
      <c r="H755" s="3">
        <v>0.76</v>
      </c>
      <c r="I755" s="4">
        <v>32000</v>
      </c>
      <c r="J755" s="4">
        <v>28900</v>
      </c>
      <c r="K755" t="s">
        <v>65</v>
      </c>
      <c r="L755" s="4">
        <f t="shared" si="33"/>
        <v>3100</v>
      </c>
      <c r="M755" t="str">
        <f t="shared" si="34"/>
        <v>Within Budget</v>
      </c>
      <c r="N755">
        <f t="shared" ca="1" si="35"/>
        <v>453</v>
      </c>
    </row>
    <row r="756" spans="1:14" x14ac:dyDescent="0.25">
      <c r="A756" t="s">
        <v>103</v>
      </c>
      <c r="B756" t="s">
        <v>119</v>
      </c>
      <c r="C756" t="s">
        <v>54</v>
      </c>
      <c r="D756" t="s">
        <v>36</v>
      </c>
      <c r="E756" s="2">
        <v>45706</v>
      </c>
      <c r="F756" s="2">
        <v>45732</v>
      </c>
      <c r="G756" s="2"/>
      <c r="H756" s="3">
        <v>0.22</v>
      </c>
      <c r="I756" s="4">
        <v>35000</v>
      </c>
      <c r="J756" s="4">
        <v>42300</v>
      </c>
      <c r="K756" t="s">
        <v>19</v>
      </c>
      <c r="L756" s="4">
        <f t="shared" si="33"/>
        <v>-7300</v>
      </c>
      <c r="M756" t="str">
        <f t="shared" si="34"/>
        <v>Over Budget</v>
      </c>
      <c r="N756">
        <f t="shared" ca="1" si="35"/>
        <v>554</v>
      </c>
    </row>
    <row r="757" spans="1:14" x14ac:dyDescent="0.25">
      <c r="A757" t="s">
        <v>72</v>
      </c>
      <c r="B757" t="s">
        <v>115</v>
      </c>
      <c r="C757" t="s">
        <v>41</v>
      </c>
      <c r="D757" t="s">
        <v>36</v>
      </c>
      <c r="E757" s="2">
        <v>45667</v>
      </c>
      <c r="F757" s="2">
        <v>45678</v>
      </c>
      <c r="G757" s="2">
        <v>45674</v>
      </c>
      <c r="H757" s="3">
        <v>1</v>
      </c>
      <c r="I757" s="4">
        <v>27000</v>
      </c>
      <c r="J757" s="4">
        <v>28100</v>
      </c>
      <c r="K757" t="s">
        <v>15</v>
      </c>
      <c r="L757" s="4">
        <f t="shared" si="33"/>
        <v>-1100</v>
      </c>
      <c r="M757" t="str">
        <f t="shared" si="34"/>
        <v>Over Budget</v>
      </c>
      <c r="N757">
        <f t="shared" ca="1" si="35"/>
        <v>-4</v>
      </c>
    </row>
    <row r="758" spans="1:14" x14ac:dyDescent="0.25">
      <c r="A758" t="s">
        <v>33</v>
      </c>
      <c r="B758" t="s">
        <v>98</v>
      </c>
      <c r="C758" t="s">
        <v>71</v>
      </c>
      <c r="D758" t="s">
        <v>14</v>
      </c>
      <c r="E758" s="2">
        <v>45771</v>
      </c>
      <c r="F758" s="2">
        <v>45791</v>
      </c>
      <c r="G758" s="2"/>
      <c r="H758" s="3">
        <v>0</v>
      </c>
      <c r="I758" s="4">
        <v>35000</v>
      </c>
      <c r="J758" s="4">
        <v>0</v>
      </c>
      <c r="K758" t="s">
        <v>48</v>
      </c>
      <c r="L758" s="4">
        <f t="shared" si="33"/>
        <v>35000</v>
      </c>
      <c r="M758" t="str">
        <f t="shared" si="34"/>
        <v>Within Budget</v>
      </c>
      <c r="N758">
        <f t="shared" ca="1" si="35"/>
        <v>495</v>
      </c>
    </row>
    <row r="759" spans="1:14" x14ac:dyDescent="0.25">
      <c r="A759" t="s">
        <v>57</v>
      </c>
      <c r="B759" t="s">
        <v>116</v>
      </c>
      <c r="C759" t="s">
        <v>22</v>
      </c>
      <c r="D759" t="s">
        <v>36</v>
      </c>
      <c r="E759" s="2">
        <v>45659</v>
      </c>
      <c r="F759" s="2">
        <v>45684</v>
      </c>
      <c r="G759" s="2"/>
      <c r="H759" s="3">
        <v>0.27</v>
      </c>
      <c r="I759" s="4">
        <v>31000</v>
      </c>
      <c r="J759" s="4">
        <v>19500</v>
      </c>
      <c r="K759" t="s">
        <v>19</v>
      </c>
      <c r="L759" s="4">
        <f t="shared" si="33"/>
        <v>11500</v>
      </c>
      <c r="M759" t="str">
        <f t="shared" si="34"/>
        <v>Within Budget</v>
      </c>
      <c r="N759">
        <f t="shared" ca="1" si="35"/>
        <v>602</v>
      </c>
    </row>
    <row r="760" spans="1:14" x14ac:dyDescent="0.25">
      <c r="A760" t="s">
        <v>120</v>
      </c>
      <c r="B760" t="s">
        <v>12</v>
      </c>
      <c r="C760" t="s">
        <v>13</v>
      </c>
      <c r="D760" t="s">
        <v>14</v>
      </c>
      <c r="E760" s="2">
        <v>45348</v>
      </c>
      <c r="F760" s="2">
        <v>45368</v>
      </c>
      <c r="G760" s="2">
        <v>45372</v>
      </c>
      <c r="H760" s="3">
        <v>1</v>
      </c>
      <c r="I760" s="4">
        <v>25000</v>
      </c>
      <c r="J760" s="4">
        <v>25900</v>
      </c>
      <c r="K760" t="s">
        <v>15</v>
      </c>
      <c r="L760" s="4">
        <f t="shared" si="33"/>
        <v>-900</v>
      </c>
      <c r="M760" t="str">
        <f t="shared" si="34"/>
        <v>Over Budget</v>
      </c>
      <c r="N760">
        <f t="shared" ca="1" si="35"/>
        <v>4</v>
      </c>
    </row>
    <row r="761" spans="1:14" x14ac:dyDescent="0.25">
      <c r="A761" t="s">
        <v>62</v>
      </c>
      <c r="B761" t="s">
        <v>114</v>
      </c>
      <c r="C761" t="s">
        <v>44</v>
      </c>
      <c r="D761" t="s">
        <v>14</v>
      </c>
      <c r="E761" s="2">
        <v>45779</v>
      </c>
      <c r="F761" s="2">
        <v>45786</v>
      </c>
      <c r="G761" s="2"/>
      <c r="H761" s="3">
        <v>0</v>
      </c>
      <c r="I761" s="4">
        <v>9000</v>
      </c>
      <c r="J761" s="4">
        <v>0</v>
      </c>
      <c r="K761" t="s">
        <v>48</v>
      </c>
      <c r="L761" s="4">
        <f t="shared" si="33"/>
        <v>9000</v>
      </c>
      <c r="M761" t="str">
        <f t="shared" si="34"/>
        <v>Within Budget</v>
      </c>
      <c r="N761">
        <f t="shared" ca="1" si="35"/>
        <v>500</v>
      </c>
    </row>
    <row r="762" spans="1:14" x14ac:dyDescent="0.25">
      <c r="A762" t="s">
        <v>50</v>
      </c>
      <c r="B762" t="s">
        <v>43</v>
      </c>
      <c r="C762" t="s">
        <v>97</v>
      </c>
      <c r="D762" t="s">
        <v>14</v>
      </c>
      <c r="E762" s="2">
        <v>45340</v>
      </c>
      <c r="F762" s="2">
        <v>45422</v>
      </c>
      <c r="G762" s="2">
        <v>45423</v>
      </c>
      <c r="H762" s="3">
        <v>1</v>
      </c>
      <c r="I762" s="4">
        <v>177000</v>
      </c>
      <c r="J762" s="4">
        <v>161300</v>
      </c>
      <c r="K762" t="s">
        <v>15</v>
      </c>
      <c r="L762" s="4">
        <f t="shared" si="33"/>
        <v>15700</v>
      </c>
      <c r="M762" t="str">
        <f t="shared" si="34"/>
        <v>Within Budget</v>
      </c>
      <c r="N762">
        <f t="shared" ca="1" si="35"/>
        <v>1</v>
      </c>
    </row>
    <row r="763" spans="1:14" x14ac:dyDescent="0.25">
      <c r="A763" t="s">
        <v>107</v>
      </c>
      <c r="B763" t="s">
        <v>80</v>
      </c>
      <c r="C763" t="s">
        <v>97</v>
      </c>
      <c r="D763" t="s">
        <v>32</v>
      </c>
      <c r="E763" s="2">
        <v>45321</v>
      </c>
      <c r="F763" s="2">
        <v>45326</v>
      </c>
      <c r="G763" s="2"/>
      <c r="H763" s="3">
        <v>0.81</v>
      </c>
      <c r="I763" s="4">
        <v>12000</v>
      </c>
      <c r="J763" s="4">
        <v>13100</v>
      </c>
      <c r="K763" t="s">
        <v>19</v>
      </c>
      <c r="L763" s="4">
        <f t="shared" si="33"/>
        <v>-1100</v>
      </c>
      <c r="M763" t="str">
        <f t="shared" si="34"/>
        <v>Over Budget</v>
      </c>
      <c r="N763">
        <f t="shared" ca="1" si="35"/>
        <v>960</v>
      </c>
    </row>
    <row r="764" spans="1:14" x14ac:dyDescent="0.25">
      <c r="A764" t="s">
        <v>121</v>
      </c>
      <c r="B764" t="s">
        <v>46</v>
      </c>
      <c r="C764" t="s">
        <v>35</v>
      </c>
      <c r="D764" t="s">
        <v>23</v>
      </c>
      <c r="E764" s="2">
        <v>45650</v>
      </c>
      <c r="F764" s="2">
        <v>45658</v>
      </c>
      <c r="G764" s="2">
        <v>45683</v>
      </c>
      <c r="H764" s="3">
        <v>1</v>
      </c>
      <c r="I764" s="4">
        <v>8000</v>
      </c>
      <c r="J764" s="4">
        <v>11100</v>
      </c>
      <c r="K764" t="s">
        <v>15</v>
      </c>
      <c r="L764" s="4">
        <f t="shared" si="33"/>
        <v>-3100</v>
      </c>
      <c r="M764" t="str">
        <f t="shared" si="34"/>
        <v>Over Budget</v>
      </c>
      <c r="N764">
        <f t="shared" ca="1" si="35"/>
        <v>25</v>
      </c>
    </row>
    <row r="765" spans="1:14" x14ac:dyDescent="0.25">
      <c r="A765" t="s">
        <v>81</v>
      </c>
      <c r="B765" t="s">
        <v>101</v>
      </c>
      <c r="C765" t="s">
        <v>87</v>
      </c>
      <c r="D765" t="s">
        <v>23</v>
      </c>
      <c r="E765" s="2">
        <v>45358</v>
      </c>
      <c r="F765" s="2">
        <v>45393</v>
      </c>
      <c r="G765" s="2">
        <v>45398</v>
      </c>
      <c r="H765" s="3">
        <v>1</v>
      </c>
      <c r="I765" s="4">
        <v>54000</v>
      </c>
      <c r="J765" s="4">
        <v>54700</v>
      </c>
      <c r="K765" t="s">
        <v>15</v>
      </c>
      <c r="L765" s="4">
        <f t="shared" si="33"/>
        <v>-700</v>
      </c>
      <c r="M765" t="str">
        <f t="shared" si="34"/>
        <v>Over Budget</v>
      </c>
      <c r="N765">
        <f t="shared" ca="1" si="35"/>
        <v>5</v>
      </c>
    </row>
    <row r="766" spans="1:14" x14ac:dyDescent="0.25">
      <c r="A766" t="s">
        <v>81</v>
      </c>
      <c r="B766" t="s">
        <v>78</v>
      </c>
      <c r="C766" t="s">
        <v>13</v>
      </c>
      <c r="D766" t="s">
        <v>23</v>
      </c>
      <c r="E766" s="2">
        <v>45479</v>
      </c>
      <c r="F766" s="2">
        <v>45508</v>
      </c>
      <c r="G766" s="2">
        <v>45524</v>
      </c>
      <c r="H766" s="3">
        <v>1</v>
      </c>
      <c r="I766" s="4">
        <v>30000</v>
      </c>
      <c r="J766" s="4">
        <v>41800</v>
      </c>
      <c r="K766" t="s">
        <v>15</v>
      </c>
      <c r="L766" s="4">
        <f t="shared" si="33"/>
        <v>-11800</v>
      </c>
      <c r="M766" t="str">
        <f t="shared" si="34"/>
        <v>Over Budget</v>
      </c>
      <c r="N766">
        <f t="shared" ca="1" si="35"/>
        <v>16</v>
      </c>
    </row>
    <row r="767" spans="1:14" x14ac:dyDescent="0.25">
      <c r="A767" t="s">
        <v>109</v>
      </c>
      <c r="B767" t="s">
        <v>74</v>
      </c>
      <c r="C767" t="s">
        <v>31</v>
      </c>
      <c r="D767" t="s">
        <v>14</v>
      </c>
      <c r="E767" s="2">
        <v>45786</v>
      </c>
      <c r="F767" s="2">
        <v>45817</v>
      </c>
      <c r="G767" s="2"/>
      <c r="H767" s="3">
        <v>0.43</v>
      </c>
      <c r="I767" s="4">
        <v>97000</v>
      </c>
      <c r="J767" s="4">
        <v>49800</v>
      </c>
      <c r="K767" t="s">
        <v>65</v>
      </c>
      <c r="L767" s="4">
        <f t="shared" si="33"/>
        <v>47200</v>
      </c>
      <c r="M767" t="str">
        <f t="shared" si="34"/>
        <v>Within Budget</v>
      </c>
      <c r="N767">
        <f t="shared" ca="1" si="35"/>
        <v>469</v>
      </c>
    </row>
    <row r="768" spans="1:14" x14ac:dyDescent="0.25">
      <c r="A768" t="s">
        <v>50</v>
      </c>
      <c r="B768" t="s">
        <v>102</v>
      </c>
      <c r="C768" t="s">
        <v>54</v>
      </c>
      <c r="D768" t="s">
        <v>23</v>
      </c>
      <c r="E768" s="2">
        <v>45694</v>
      </c>
      <c r="F768" s="2">
        <v>45707</v>
      </c>
      <c r="G768" s="2">
        <v>45708</v>
      </c>
      <c r="H768" s="3">
        <v>1</v>
      </c>
      <c r="I768" s="4">
        <v>15000</v>
      </c>
      <c r="J768" s="4">
        <v>17100</v>
      </c>
      <c r="K768" t="s">
        <v>15</v>
      </c>
      <c r="L768" s="4">
        <f t="shared" si="33"/>
        <v>-2100</v>
      </c>
      <c r="M768" t="str">
        <f t="shared" si="34"/>
        <v>Over Budget</v>
      </c>
      <c r="N768">
        <f t="shared" ca="1" si="35"/>
        <v>1</v>
      </c>
    </row>
    <row r="769" spans="1:14" x14ac:dyDescent="0.25">
      <c r="A769" t="s">
        <v>53</v>
      </c>
      <c r="B769" t="s">
        <v>116</v>
      </c>
      <c r="C769" t="s">
        <v>71</v>
      </c>
      <c r="D769" t="s">
        <v>14</v>
      </c>
      <c r="E769" s="2">
        <v>45304</v>
      </c>
      <c r="F769" s="2">
        <v>45319</v>
      </c>
      <c r="G769" s="2"/>
      <c r="H769" s="3">
        <v>0.82</v>
      </c>
      <c r="I769" s="4">
        <v>10000</v>
      </c>
      <c r="J769" s="4">
        <v>5400</v>
      </c>
      <c r="K769" t="s">
        <v>19</v>
      </c>
      <c r="L769" s="4">
        <f t="shared" si="33"/>
        <v>4600</v>
      </c>
      <c r="M769" t="str">
        <f t="shared" si="34"/>
        <v>Within Budget</v>
      </c>
      <c r="N769">
        <f t="shared" ca="1" si="35"/>
        <v>967</v>
      </c>
    </row>
    <row r="770" spans="1:14" x14ac:dyDescent="0.25">
      <c r="A770" t="s">
        <v>45</v>
      </c>
      <c r="B770" t="s">
        <v>115</v>
      </c>
      <c r="C770" t="s">
        <v>113</v>
      </c>
      <c r="D770" t="s">
        <v>23</v>
      </c>
      <c r="E770" s="2">
        <v>45455</v>
      </c>
      <c r="F770" s="2">
        <v>45489</v>
      </c>
      <c r="G770" s="2">
        <v>45502</v>
      </c>
      <c r="H770" s="3">
        <v>1</v>
      </c>
      <c r="I770" s="4">
        <v>89000</v>
      </c>
      <c r="J770" s="4">
        <v>124500</v>
      </c>
      <c r="K770" t="s">
        <v>15</v>
      </c>
      <c r="L770" s="4">
        <f t="shared" si="33"/>
        <v>-35500</v>
      </c>
      <c r="M770" t="str">
        <f t="shared" si="34"/>
        <v>Over Budget</v>
      </c>
      <c r="N770">
        <f t="shared" ca="1" si="35"/>
        <v>13</v>
      </c>
    </row>
    <row r="771" spans="1:14" x14ac:dyDescent="0.25">
      <c r="A771" t="s">
        <v>24</v>
      </c>
      <c r="B771" t="s">
        <v>63</v>
      </c>
      <c r="C771" t="s">
        <v>112</v>
      </c>
      <c r="D771" t="s">
        <v>36</v>
      </c>
      <c r="E771" s="2">
        <v>45497</v>
      </c>
      <c r="F771" s="2">
        <v>45510</v>
      </c>
      <c r="G771" s="2">
        <v>45525</v>
      </c>
      <c r="H771" s="3">
        <v>1</v>
      </c>
      <c r="I771" s="4">
        <v>38000</v>
      </c>
      <c r="J771" s="4">
        <v>41000</v>
      </c>
      <c r="K771" t="s">
        <v>15</v>
      </c>
      <c r="L771" s="4">
        <f t="shared" ref="L771:L834" si="36">I771-J771</f>
        <v>-3000</v>
      </c>
      <c r="M771" t="str">
        <f t="shared" ref="M771:M834" si="37">IF(L771&lt;0, "Over Budget", "Within Budget")</f>
        <v>Over Budget</v>
      </c>
      <c r="N771">
        <f t="shared" ref="N771:N834" ca="1" si="38">IF(G771="",TODAY()-F771,G771-F771)</f>
        <v>15</v>
      </c>
    </row>
    <row r="772" spans="1:14" x14ac:dyDescent="0.25">
      <c r="A772" t="s">
        <v>62</v>
      </c>
      <c r="B772" t="s">
        <v>119</v>
      </c>
      <c r="C772" t="s">
        <v>100</v>
      </c>
      <c r="D772" t="s">
        <v>23</v>
      </c>
      <c r="E772" s="2">
        <v>45390</v>
      </c>
      <c r="F772" s="2">
        <v>45405</v>
      </c>
      <c r="G772" s="2">
        <v>45407</v>
      </c>
      <c r="H772" s="3">
        <v>1</v>
      </c>
      <c r="I772" s="4">
        <v>19000</v>
      </c>
      <c r="J772" s="4">
        <v>20000</v>
      </c>
      <c r="K772" t="s">
        <v>15</v>
      </c>
      <c r="L772" s="4">
        <f t="shared" si="36"/>
        <v>-1000</v>
      </c>
      <c r="M772" t="str">
        <f t="shared" si="37"/>
        <v>Over Budget</v>
      </c>
      <c r="N772">
        <f t="shared" ca="1" si="38"/>
        <v>2</v>
      </c>
    </row>
    <row r="773" spans="1:14" x14ac:dyDescent="0.25">
      <c r="A773" t="s">
        <v>72</v>
      </c>
      <c r="B773" t="s">
        <v>101</v>
      </c>
      <c r="C773" t="s">
        <v>54</v>
      </c>
      <c r="D773" t="s">
        <v>14</v>
      </c>
      <c r="E773" s="2">
        <v>45785</v>
      </c>
      <c r="F773" s="2">
        <v>45806</v>
      </c>
      <c r="G773" s="2"/>
      <c r="H773" s="3">
        <v>0</v>
      </c>
      <c r="I773" s="4">
        <v>38000</v>
      </c>
      <c r="J773" s="4">
        <v>0</v>
      </c>
      <c r="K773" t="s">
        <v>48</v>
      </c>
      <c r="L773" s="4">
        <f t="shared" si="36"/>
        <v>38000</v>
      </c>
      <c r="M773" t="str">
        <f t="shared" si="37"/>
        <v>Within Budget</v>
      </c>
      <c r="N773">
        <f t="shared" ca="1" si="38"/>
        <v>480</v>
      </c>
    </row>
    <row r="774" spans="1:14" x14ac:dyDescent="0.25">
      <c r="A774" t="s">
        <v>50</v>
      </c>
      <c r="B774" t="s">
        <v>88</v>
      </c>
      <c r="C774" t="s">
        <v>100</v>
      </c>
      <c r="D774" t="s">
        <v>32</v>
      </c>
      <c r="E774" s="2">
        <v>45311</v>
      </c>
      <c r="F774" s="2">
        <v>45332</v>
      </c>
      <c r="G774" s="2">
        <v>45346</v>
      </c>
      <c r="H774" s="3">
        <v>1</v>
      </c>
      <c r="I774" s="4">
        <v>23000</v>
      </c>
      <c r="J774" s="4">
        <v>22900</v>
      </c>
      <c r="K774" t="s">
        <v>15</v>
      </c>
      <c r="L774" s="4">
        <f t="shared" si="36"/>
        <v>100</v>
      </c>
      <c r="M774" t="str">
        <f t="shared" si="37"/>
        <v>Within Budget</v>
      </c>
      <c r="N774">
        <f t="shared" ca="1" si="38"/>
        <v>14</v>
      </c>
    </row>
    <row r="775" spans="1:14" x14ac:dyDescent="0.25">
      <c r="A775" t="s">
        <v>121</v>
      </c>
      <c r="B775" t="s">
        <v>70</v>
      </c>
      <c r="C775" t="s">
        <v>111</v>
      </c>
      <c r="D775" t="s">
        <v>36</v>
      </c>
      <c r="E775" s="2">
        <v>45635</v>
      </c>
      <c r="F775" s="2">
        <v>45649</v>
      </c>
      <c r="G775" s="2">
        <v>45665</v>
      </c>
      <c r="H775" s="3">
        <v>1</v>
      </c>
      <c r="I775" s="4">
        <v>42000</v>
      </c>
      <c r="J775" s="4">
        <v>58000</v>
      </c>
      <c r="K775" t="s">
        <v>15</v>
      </c>
      <c r="L775" s="4">
        <f t="shared" si="36"/>
        <v>-16000</v>
      </c>
      <c r="M775" t="str">
        <f t="shared" si="37"/>
        <v>Over Budget</v>
      </c>
      <c r="N775">
        <f t="shared" ca="1" si="38"/>
        <v>16</v>
      </c>
    </row>
    <row r="776" spans="1:14" x14ac:dyDescent="0.25">
      <c r="A776" t="s">
        <v>62</v>
      </c>
      <c r="B776" t="s">
        <v>30</v>
      </c>
      <c r="C776" t="s">
        <v>18</v>
      </c>
      <c r="D776" t="s">
        <v>36</v>
      </c>
      <c r="E776" s="2">
        <v>45693</v>
      </c>
      <c r="F776" s="2">
        <v>45722</v>
      </c>
      <c r="G776" s="2"/>
      <c r="H776" s="3">
        <v>0.25</v>
      </c>
      <c r="I776" s="4">
        <v>24000</v>
      </c>
      <c r="J776" s="4">
        <v>11600</v>
      </c>
      <c r="K776" t="s">
        <v>94</v>
      </c>
      <c r="L776" s="4">
        <f t="shared" si="36"/>
        <v>12400</v>
      </c>
      <c r="M776" t="str">
        <f t="shared" si="37"/>
        <v>Within Budget</v>
      </c>
      <c r="N776">
        <f t="shared" ca="1" si="38"/>
        <v>564</v>
      </c>
    </row>
    <row r="777" spans="1:14" x14ac:dyDescent="0.25">
      <c r="A777" t="s">
        <v>57</v>
      </c>
      <c r="B777" t="s">
        <v>25</v>
      </c>
      <c r="C777" t="s">
        <v>113</v>
      </c>
      <c r="D777" t="s">
        <v>32</v>
      </c>
      <c r="E777" s="2">
        <v>45484</v>
      </c>
      <c r="F777" s="2">
        <v>45503</v>
      </c>
      <c r="G777" s="2">
        <v>45520</v>
      </c>
      <c r="H777" s="3">
        <v>1</v>
      </c>
      <c r="I777" s="4">
        <v>29000</v>
      </c>
      <c r="J777" s="4">
        <v>35400</v>
      </c>
      <c r="K777" t="s">
        <v>15</v>
      </c>
      <c r="L777" s="4">
        <f t="shared" si="36"/>
        <v>-6400</v>
      </c>
      <c r="M777" t="str">
        <f t="shared" si="37"/>
        <v>Over Budget</v>
      </c>
      <c r="N777">
        <f t="shared" ca="1" si="38"/>
        <v>17</v>
      </c>
    </row>
    <row r="778" spans="1:14" x14ac:dyDescent="0.25">
      <c r="A778" t="s">
        <v>91</v>
      </c>
      <c r="B778" t="s">
        <v>98</v>
      </c>
      <c r="C778" t="s">
        <v>13</v>
      </c>
      <c r="D778" t="s">
        <v>36</v>
      </c>
      <c r="E778" s="2">
        <v>45741</v>
      </c>
      <c r="F778" s="2">
        <v>45755</v>
      </c>
      <c r="G778" s="2"/>
      <c r="H778" s="3">
        <v>0.88</v>
      </c>
      <c r="I778" s="4">
        <v>41000</v>
      </c>
      <c r="J778" s="4">
        <v>34600</v>
      </c>
      <c r="K778" t="s">
        <v>65</v>
      </c>
      <c r="L778" s="4">
        <f t="shared" si="36"/>
        <v>6400</v>
      </c>
      <c r="M778" t="str">
        <f t="shared" si="37"/>
        <v>Within Budget</v>
      </c>
      <c r="N778">
        <f t="shared" ca="1" si="38"/>
        <v>531</v>
      </c>
    </row>
    <row r="779" spans="1:14" x14ac:dyDescent="0.25">
      <c r="A779" t="s">
        <v>50</v>
      </c>
      <c r="B779" t="s">
        <v>75</v>
      </c>
      <c r="C779" t="s">
        <v>26</v>
      </c>
      <c r="D779" t="s">
        <v>14</v>
      </c>
      <c r="E779" s="2">
        <v>45485</v>
      </c>
      <c r="F779" s="2">
        <v>45496</v>
      </c>
      <c r="G779" s="2">
        <v>45509</v>
      </c>
      <c r="H779" s="3">
        <v>1</v>
      </c>
      <c r="I779" s="4">
        <v>15000</v>
      </c>
      <c r="J779" s="4">
        <v>16100</v>
      </c>
      <c r="K779" t="s">
        <v>15</v>
      </c>
      <c r="L779" s="4">
        <f t="shared" si="36"/>
        <v>-1100</v>
      </c>
      <c r="M779" t="str">
        <f t="shared" si="37"/>
        <v>Over Budget</v>
      </c>
      <c r="N779">
        <f t="shared" ca="1" si="38"/>
        <v>13</v>
      </c>
    </row>
    <row r="780" spans="1:14" x14ac:dyDescent="0.25">
      <c r="A780" t="s">
        <v>83</v>
      </c>
      <c r="B780" t="s">
        <v>92</v>
      </c>
      <c r="C780" t="s">
        <v>47</v>
      </c>
      <c r="D780" t="s">
        <v>36</v>
      </c>
      <c r="E780" s="2">
        <v>45692</v>
      </c>
      <c r="F780" s="2">
        <v>45720</v>
      </c>
      <c r="G780" s="2"/>
      <c r="H780" s="3">
        <v>0.68</v>
      </c>
      <c r="I780" s="4">
        <v>37000</v>
      </c>
      <c r="J780" s="4">
        <v>12800</v>
      </c>
      <c r="K780" t="s">
        <v>94</v>
      </c>
      <c r="L780" s="4">
        <f t="shared" si="36"/>
        <v>24200</v>
      </c>
      <c r="M780" t="str">
        <f t="shared" si="37"/>
        <v>Within Budget</v>
      </c>
      <c r="N780">
        <f t="shared" ca="1" si="38"/>
        <v>566</v>
      </c>
    </row>
    <row r="781" spans="1:14" x14ac:dyDescent="0.25">
      <c r="A781" t="s">
        <v>104</v>
      </c>
      <c r="B781" t="s">
        <v>58</v>
      </c>
      <c r="C781" t="s">
        <v>35</v>
      </c>
      <c r="D781" t="s">
        <v>14</v>
      </c>
      <c r="E781" s="2">
        <v>45552</v>
      </c>
      <c r="F781" s="2">
        <v>45572</v>
      </c>
      <c r="G781" s="2"/>
      <c r="H781" s="3">
        <v>0.3</v>
      </c>
      <c r="I781" s="4">
        <v>36000</v>
      </c>
      <c r="J781" s="4">
        <v>23200</v>
      </c>
      <c r="K781" t="s">
        <v>19</v>
      </c>
      <c r="L781" s="4">
        <f t="shared" si="36"/>
        <v>12800</v>
      </c>
      <c r="M781" t="str">
        <f t="shared" si="37"/>
        <v>Within Budget</v>
      </c>
      <c r="N781">
        <f t="shared" ca="1" si="38"/>
        <v>714</v>
      </c>
    </row>
    <row r="782" spans="1:14" x14ac:dyDescent="0.25">
      <c r="A782" t="s">
        <v>121</v>
      </c>
      <c r="B782" t="s">
        <v>86</v>
      </c>
      <c r="C782" t="s">
        <v>28</v>
      </c>
      <c r="D782" t="s">
        <v>14</v>
      </c>
      <c r="E782" s="2">
        <v>45832</v>
      </c>
      <c r="F782" s="2">
        <v>45844</v>
      </c>
      <c r="G782" s="2"/>
      <c r="H782" s="3">
        <v>0.38</v>
      </c>
      <c r="I782" s="4">
        <v>29000</v>
      </c>
      <c r="J782" s="4">
        <v>12800</v>
      </c>
      <c r="K782" t="s">
        <v>65</v>
      </c>
      <c r="L782" s="4">
        <f t="shared" si="36"/>
        <v>16200</v>
      </c>
      <c r="M782" t="str">
        <f t="shared" si="37"/>
        <v>Within Budget</v>
      </c>
      <c r="N782">
        <f t="shared" ca="1" si="38"/>
        <v>442</v>
      </c>
    </row>
    <row r="783" spans="1:14" x14ac:dyDescent="0.25">
      <c r="A783" t="s">
        <v>83</v>
      </c>
      <c r="B783" t="s">
        <v>43</v>
      </c>
      <c r="C783" t="s">
        <v>112</v>
      </c>
      <c r="D783" t="s">
        <v>23</v>
      </c>
      <c r="E783" s="2">
        <v>45774</v>
      </c>
      <c r="F783" s="2">
        <v>45851</v>
      </c>
      <c r="G783" s="2"/>
      <c r="H783" s="3">
        <v>0</v>
      </c>
      <c r="I783" s="4">
        <v>159000</v>
      </c>
      <c r="J783" s="4">
        <v>0</v>
      </c>
      <c r="K783" t="s">
        <v>48</v>
      </c>
      <c r="L783" s="4">
        <f t="shared" si="36"/>
        <v>159000</v>
      </c>
      <c r="M783" t="str">
        <f t="shared" si="37"/>
        <v>Within Budget</v>
      </c>
      <c r="N783">
        <f t="shared" ca="1" si="38"/>
        <v>435</v>
      </c>
    </row>
    <row r="784" spans="1:14" x14ac:dyDescent="0.25">
      <c r="A784" t="s">
        <v>24</v>
      </c>
      <c r="B784" t="s">
        <v>64</v>
      </c>
      <c r="C784" t="s">
        <v>105</v>
      </c>
      <c r="D784" t="s">
        <v>14</v>
      </c>
      <c r="E784" s="2">
        <v>45436</v>
      </c>
      <c r="F784" s="2">
        <v>45464</v>
      </c>
      <c r="G784" s="2">
        <v>45449</v>
      </c>
      <c r="H784" s="3">
        <v>0.15</v>
      </c>
      <c r="I784" s="4">
        <v>48000</v>
      </c>
      <c r="J784" s="4">
        <v>13300</v>
      </c>
      <c r="K784" t="s">
        <v>27</v>
      </c>
      <c r="L784" s="4">
        <f t="shared" si="36"/>
        <v>34700</v>
      </c>
      <c r="M784" t="str">
        <f t="shared" si="37"/>
        <v>Within Budget</v>
      </c>
      <c r="N784">
        <f t="shared" ca="1" si="38"/>
        <v>-15</v>
      </c>
    </row>
    <row r="785" spans="1:14" x14ac:dyDescent="0.25">
      <c r="A785" t="s">
        <v>77</v>
      </c>
      <c r="B785" t="s">
        <v>59</v>
      </c>
      <c r="C785" t="s">
        <v>105</v>
      </c>
      <c r="D785" t="s">
        <v>14</v>
      </c>
      <c r="E785" s="2">
        <v>45723</v>
      </c>
      <c r="F785" s="2">
        <v>45751</v>
      </c>
      <c r="G785" s="2"/>
      <c r="H785" s="3">
        <v>0.79</v>
      </c>
      <c r="I785" s="4">
        <v>40000</v>
      </c>
      <c r="J785" s="4">
        <v>34300</v>
      </c>
      <c r="K785" t="s">
        <v>65</v>
      </c>
      <c r="L785" s="4">
        <f t="shared" si="36"/>
        <v>5700</v>
      </c>
      <c r="M785" t="str">
        <f t="shared" si="37"/>
        <v>Within Budget</v>
      </c>
      <c r="N785">
        <f t="shared" ca="1" si="38"/>
        <v>535</v>
      </c>
    </row>
    <row r="786" spans="1:14" x14ac:dyDescent="0.25">
      <c r="A786" t="s">
        <v>109</v>
      </c>
      <c r="B786" t="s">
        <v>86</v>
      </c>
      <c r="C786" t="s">
        <v>47</v>
      </c>
      <c r="D786" t="s">
        <v>14</v>
      </c>
      <c r="E786" s="2">
        <v>45622</v>
      </c>
      <c r="F786" s="2">
        <v>45653</v>
      </c>
      <c r="G786" s="2">
        <v>45696</v>
      </c>
      <c r="H786" s="3">
        <v>1</v>
      </c>
      <c r="I786" s="4">
        <v>60000</v>
      </c>
      <c r="J786" s="4">
        <v>64500</v>
      </c>
      <c r="K786" t="s">
        <v>15</v>
      </c>
      <c r="L786" s="4">
        <f t="shared" si="36"/>
        <v>-4500</v>
      </c>
      <c r="M786" t="str">
        <f t="shared" si="37"/>
        <v>Over Budget</v>
      </c>
      <c r="N786">
        <f t="shared" ca="1" si="38"/>
        <v>43</v>
      </c>
    </row>
    <row r="787" spans="1:14" x14ac:dyDescent="0.25">
      <c r="A787" t="s">
        <v>107</v>
      </c>
      <c r="B787" t="s">
        <v>85</v>
      </c>
      <c r="C787" t="s">
        <v>67</v>
      </c>
      <c r="D787" t="s">
        <v>32</v>
      </c>
      <c r="E787" s="2">
        <v>45613</v>
      </c>
      <c r="F787" s="2">
        <v>45645</v>
      </c>
      <c r="G787" s="2">
        <v>45618</v>
      </c>
      <c r="H787" s="3">
        <v>0.25</v>
      </c>
      <c r="I787" s="4">
        <v>94000</v>
      </c>
      <c r="J787" s="4">
        <v>10600</v>
      </c>
      <c r="K787" t="s">
        <v>27</v>
      </c>
      <c r="L787" s="4">
        <f t="shared" si="36"/>
        <v>83400</v>
      </c>
      <c r="M787" t="str">
        <f t="shared" si="37"/>
        <v>Within Budget</v>
      </c>
      <c r="N787">
        <f t="shared" ca="1" si="38"/>
        <v>-27</v>
      </c>
    </row>
    <row r="788" spans="1:14" x14ac:dyDescent="0.25">
      <c r="A788" t="s">
        <v>121</v>
      </c>
      <c r="B788" t="s">
        <v>102</v>
      </c>
      <c r="C788" t="s">
        <v>71</v>
      </c>
      <c r="D788" t="s">
        <v>36</v>
      </c>
      <c r="E788" s="2">
        <v>45381</v>
      </c>
      <c r="F788" s="2">
        <v>45387</v>
      </c>
      <c r="G788" s="2">
        <v>45380</v>
      </c>
      <c r="H788" s="3">
        <v>1</v>
      </c>
      <c r="I788" s="4">
        <v>4000</v>
      </c>
      <c r="J788" s="4">
        <v>4000</v>
      </c>
      <c r="K788" t="s">
        <v>15</v>
      </c>
      <c r="L788" s="4">
        <f t="shared" si="36"/>
        <v>0</v>
      </c>
      <c r="M788" t="str">
        <f t="shared" si="37"/>
        <v>Within Budget</v>
      </c>
      <c r="N788">
        <f t="shared" ca="1" si="38"/>
        <v>-7</v>
      </c>
    </row>
    <row r="789" spans="1:14" x14ac:dyDescent="0.25">
      <c r="A789" t="s">
        <v>42</v>
      </c>
      <c r="B789" t="s">
        <v>116</v>
      </c>
      <c r="C789" t="s">
        <v>31</v>
      </c>
      <c r="D789" t="s">
        <v>14</v>
      </c>
      <c r="E789" s="2">
        <v>45495</v>
      </c>
      <c r="F789" s="2">
        <v>45519</v>
      </c>
      <c r="G789" s="2"/>
      <c r="H789" s="3">
        <v>0.83</v>
      </c>
      <c r="I789" s="4">
        <v>26000</v>
      </c>
      <c r="J789" s="4">
        <v>31900</v>
      </c>
      <c r="K789" t="s">
        <v>19</v>
      </c>
      <c r="L789" s="4">
        <f t="shared" si="36"/>
        <v>-5900</v>
      </c>
      <c r="M789" t="str">
        <f t="shared" si="37"/>
        <v>Over Budget</v>
      </c>
      <c r="N789">
        <f t="shared" ca="1" si="38"/>
        <v>767</v>
      </c>
    </row>
    <row r="790" spans="1:14" x14ac:dyDescent="0.25">
      <c r="A790" t="s">
        <v>66</v>
      </c>
      <c r="B790" t="s">
        <v>95</v>
      </c>
      <c r="C790" t="s">
        <v>97</v>
      </c>
      <c r="D790" t="s">
        <v>14</v>
      </c>
      <c r="E790" s="2">
        <v>45460</v>
      </c>
      <c r="F790" s="2">
        <v>45472</v>
      </c>
      <c r="G790" s="2">
        <v>45509</v>
      </c>
      <c r="H790" s="3">
        <v>1</v>
      </c>
      <c r="I790" s="4">
        <v>27000</v>
      </c>
      <c r="J790" s="4">
        <v>25100</v>
      </c>
      <c r="K790" t="s">
        <v>15</v>
      </c>
      <c r="L790" s="4">
        <f t="shared" si="36"/>
        <v>1900</v>
      </c>
      <c r="M790" t="str">
        <f t="shared" si="37"/>
        <v>Within Budget</v>
      </c>
      <c r="N790">
        <f t="shared" ca="1" si="38"/>
        <v>37</v>
      </c>
    </row>
    <row r="791" spans="1:14" x14ac:dyDescent="0.25">
      <c r="A791" t="s">
        <v>55</v>
      </c>
      <c r="B791" t="s">
        <v>43</v>
      </c>
      <c r="C791" t="s">
        <v>52</v>
      </c>
      <c r="D791" t="s">
        <v>23</v>
      </c>
      <c r="E791" s="2">
        <v>45511</v>
      </c>
      <c r="F791" s="2">
        <v>45544</v>
      </c>
      <c r="G791" s="2"/>
      <c r="H791" s="3">
        <v>0.78</v>
      </c>
      <c r="I791" s="4">
        <v>67000</v>
      </c>
      <c r="J791" s="4">
        <v>66900</v>
      </c>
      <c r="K791" t="s">
        <v>19</v>
      </c>
      <c r="L791" s="4">
        <f t="shared" si="36"/>
        <v>100</v>
      </c>
      <c r="M791" t="str">
        <f t="shared" si="37"/>
        <v>Within Budget</v>
      </c>
      <c r="N791">
        <f t="shared" ca="1" si="38"/>
        <v>742</v>
      </c>
    </row>
    <row r="792" spans="1:14" x14ac:dyDescent="0.25">
      <c r="A792" t="s">
        <v>104</v>
      </c>
      <c r="B792" t="s">
        <v>119</v>
      </c>
      <c r="C792" t="s">
        <v>106</v>
      </c>
      <c r="D792" t="s">
        <v>36</v>
      </c>
      <c r="E792" s="2">
        <v>45621</v>
      </c>
      <c r="F792" s="2">
        <v>45641</v>
      </c>
      <c r="G792" s="2">
        <v>45636</v>
      </c>
      <c r="H792" s="3">
        <v>1</v>
      </c>
      <c r="I792" s="4">
        <v>27000</v>
      </c>
      <c r="J792" s="4">
        <v>25500</v>
      </c>
      <c r="K792" t="s">
        <v>15</v>
      </c>
      <c r="L792" s="4">
        <f t="shared" si="36"/>
        <v>1500</v>
      </c>
      <c r="M792" t="str">
        <f t="shared" si="37"/>
        <v>Within Budget</v>
      </c>
      <c r="N792">
        <f t="shared" ca="1" si="38"/>
        <v>-5</v>
      </c>
    </row>
    <row r="793" spans="1:14" x14ac:dyDescent="0.25">
      <c r="A793" t="s">
        <v>11</v>
      </c>
      <c r="B793" t="s">
        <v>90</v>
      </c>
      <c r="C793" t="s">
        <v>39</v>
      </c>
      <c r="D793" t="s">
        <v>14</v>
      </c>
      <c r="E793" s="2">
        <v>45525</v>
      </c>
      <c r="F793" s="2">
        <v>45562</v>
      </c>
      <c r="G793" s="2"/>
      <c r="H793" s="3">
        <v>0.71</v>
      </c>
      <c r="I793" s="4">
        <v>84000</v>
      </c>
      <c r="J793" s="4">
        <v>48500</v>
      </c>
      <c r="K793" t="s">
        <v>19</v>
      </c>
      <c r="L793" s="4">
        <f t="shared" si="36"/>
        <v>35500</v>
      </c>
      <c r="M793" t="str">
        <f t="shared" si="37"/>
        <v>Within Budget</v>
      </c>
      <c r="N793">
        <f t="shared" ca="1" si="38"/>
        <v>724</v>
      </c>
    </row>
    <row r="794" spans="1:14" x14ac:dyDescent="0.25">
      <c r="A794" t="s">
        <v>50</v>
      </c>
      <c r="B794" t="s">
        <v>93</v>
      </c>
      <c r="C794" t="s">
        <v>100</v>
      </c>
      <c r="D794" t="s">
        <v>23</v>
      </c>
      <c r="E794" s="2">
        <v>45748</v>
      </c>
      <c r="F794" s="2">
        <v>45781</v>
      </c>
      <c r="G794" s="2"/>
      <c r="H794" s="3">
        <v>0</v>
      </c>
      <c r="I794" s="4">
        <v>81000</v>
      </c>
      <c r="J794" s="4">
        <v>0</v>
      </c>
      <c r="K794" t="s">
        <v>48</v>
      </c>
      <c r="L794" s="4">
        <f t="shared" si="36"/>
        <v>81000</v>
      </c>
      <c r="M794" t="str">
        <f t="shared" si="37"/>
        <v>Within Budget</v>
      </c>
      <c r="N794">
        <f t="shared" ca="1" si="38"/>
        <v>505</v>
      </c>
    </row>
    <row r="795" spans="1:14" x14ac:dyDescent="0.25">
      <c r="A795" t="s">
        <v>91</v>
      </c>
      <c r="B795" t="s">
        <v>125</v>
      </c>
      <c r="C795" t="s">
        <v>87</v>
      </c>
      <c r="D795" t="s">
        <v>36</v>
      </c>
      <c r="E795" s="2">
        <v>45606</v>
      </c>
      <c r="F795" s="2">
        <v>45620</v>
      </c>
      <c r="G795" s="2"/>
      <c r="H795" s="3">
        <v>0.27</v>
      </c>
      <c r="I795" s="4">
        <v>18000</v>
      </c>
      <c r="J795" s="4">
        <v>9300</v>
      </c>
      <c r="K795" t="s">
        <v>19</v>
      </c>
      <c r="L795" s="4">
        <f t="shared" si="36"/>
        <v>8700</v>
      </c>
      <c r="M795" t="str">
        <f t="shared" si="37"/>
        <v>Within Budget</v>
      </c>
      <c r="N795">
        <f t="shared" ca="1" si="38"/>
        <v>666</v>
      </c>
    </row>
    <row r="796" spans="1:14" x14ac:dyDescent="0.25">
      <c r="A796" t="s">
        <v>120</v>
      </c>
      <c r="B796" t="s">
        <v>85</v>
      </c>
      <c r="C796" t="s">
        <v>100</v>
      </c>
      <c r="D796" t="s">
        <v>32</v>
      </c>
      <c r="E796" s="2">
        <v>45662</v>
      </c>
      <c r="F796" s="2">
        <v>45669</v>
      </c>
      <c r="G796" s="2"/>
      <c r="H796" s="3">
        <v>0.4</v>
      </c>
      <c r="I796" s="4">
        <v>5000</v>
      </c>
      <c r="J796" s="4">
        <v>6400</v>
      </c>
      <c r="K796" t="s">
        <v>19</v>
      </c>
      <c r="L796" s="4">
        <f t="shared" si="36"/>
        <v>-1400</v>
      </c>
      <c r="M796" t="str">
        <f t="shared" si="37"/>
        <v>Over Budget</v>
      </c>
      <c r="N796">
        <f t="shared" ca="1" si="38"/>
        <v>617</v>
      </c>
    </row>
    <row r="797" spans="1:14" x14ac:dyDescent="0.25">
      <c r="A797" t="s">
        <v>24</v>
      </c>
      <c r="B797" t="s">
        <v>69</v>
      </c>
      <c r="C797" t="s">
        <v>31</v>
      </c>
      <c r="D797" t="s">
        <v>14</v>
      </c>
      <c r="E797" s="2">
        <v>45795</v>
      </c>
      <c r="F797" s="2">
        <v>45829</v>
      </c>
      <c r="G797" s="2"/>
      <c r="H797" s="3">
        <v>0</v>
      </c>
      <c r="I797" s="4">
        <v>72000</v>
      </c>
      <c r="J797" s="4">
        <v>0</v>
      </c>
      <c r="K797" t="s">
        <v>48</v>
      </c>
      <c r="L797" s="4">
        <f t="shared" si="36"/>
        <v>72000</v>
      </c>
      <c r="M797" t="str">
        <f t="shared" si="37"/>
        <v>Within Budget</v>
      </c>
      <c r="N797">
        <f t="shared" ca="1" si="38"/>
        <v>457</v>
      </c>
    </row>
    <row r="798" spans="1:14" x14ac:dyDescent="0.25">
      <c r="A798" t="s">
        <v>62</v>
      </c>
      <c r="B798" t="s">
        <v>122</v>
      </c>
      <c r="C798" t="s">
        <v>13</v>
      </c>
      <c r="D798" t="s">
        <v>14</v>
      </c>
      <c r="E798" s="2">
        <v>45511</v>
      </c>
      <c r="F798" s="2">
        <v>45533</v>
      </c>
      <c r="G798" s="2"/>
      <c r="H798" s="3">
        <v>0.3</v>
      </c>
      <c r="I798" s="4">
        <v>44000</v>
      </c>
      <c r="J798" s="4">
        <v>47600</v>
      </c>
      <c r="K798" t="s">
        <v>19</v>
      </c>
      <c r="L798" s="4">
        <f t="shared" si="36"/>
        <v>-3600</v>
      </c>
      <c r="M798" t="str">
        <f t="shared" si="37"/>
        <v>Over Budget</v>
      </c>
      <c r="N798">
        <f t="shared" ca="1" si="38"/>
        <v>753</v>
      </c>
    </row>
    <row r="799" spans="1:14" x14ac:dyDescent="0.25">
      <c r="A799" t="s">
        <v>57</v>
      </c>
      <c r="B799" t="s">
        <v>74</v>
      </c>
      <c r="C799" t="s">
        <v>71</v>
      </c>
      <c r="D799" t="s">
        <v>36</v>
      </c>
      <c r="E799" s="2">
        <v>45464</v>
      </c>
      <c r="F799" s="2">
        <v>45484</v>
      </c>
      <c r="G799" s="2">
        <v>45500</v>
      </c>
      <c r="H799" s="3">
        <v>1</v>
      </c>
      <c r="I799" s="4">
        <v>45000</v>
      </c>
      <c r="J799" s="4">
        <v>60600</v>
      </c>
      <c r="K799" t="s">
        <v>15</v>
      </c>
      <c r="L799" s="4">
        <f t="shared" si="36"/>
        <v>-15600</v>
      </c>
      <c r="M799" t="str">
        <f t="shared" si="37"/>
        <v>Over Budget</v>
      </c>
      <c r="N799">
        <f t="shared" ca="1" si="38"/>
        <v>16</v>
      </c>
    </row>
    <row r="800" spans="1:14" x14ac:dyDescent="0.25">
      <c r="A800" t="s">
        <v>103</v>
      </c>
      <c r="B800" t="s">
        <v>12</v>
      </c>
      <c r="C800" t="s">
        <v>28</v>
      </c>
      <c r="D800" t="s">
        <v>23</v>
      </c>
      <c r="E800" s="2">
        <v>45481</v>
      </c>
      <c r="F800" s="2">
        <v>45492</v>
      </c>
      <c r="G800" s="2">
        <v>45482</v>
      </c>
      <c r="H800" s="3">
        <v>0.15</v>
      </c>
      <c r="I800" s="4">
        <v>47000</v>
      </c>
      <c r="J800" s="4">
        <v>3300</v>
      </c>
      <c r="K800" t="s">
        <v>27</v>
      </c>
      <c r="L800" s="4">
        <f t="shared" si="36"/>
        <v>43700</v>
      </c>
      <c r="M800" t="str">
        <f t="shared" si="37"/>
        <v>Within Budget</v>
      </c>
      <c r="N800">
        <f t="shared" ca="1" si="38"/>
        <v>-10</v>
      </c>
    </row>
    <row r="801" spans="1:14" x14ac:dyDescent="0.25">
      <c r="A801" t="s">
        <v>16</v>
      </c>
      <c r="B801" t="s">
        <v>96</v>
      </c>
      <c r="C801" t="s">
        <v>97</v>
      </c>
      <c r="D801" t="s">
        <v>36</v>
      </c>
      <c r="E801" s="2">
        <v>45503</v>
      </c>
      <c r="F801" s="2">
        <v>45528</v>
      </c>
      <c r="G801" s="2">
        <v>45522</v>
      </c>
      <c r="H801" s="3">
        <v>1</v>
      </c>
      <c r="I801" s="4">
        <v>48000</v>
      </c>
      <c r="J801" s="4">
        <v>44200</v>
      </c>
      <c r="K801" t="s">
        <v>15</v>
      </c>
      <c r="L801" s="4">
        <f t="shared" si="36"/>
        <v>3800</v>
      </c>
      <c r="M801" t="str">
        <f t="shared" si="37"/>
        <v>Within Budget</v>
      </c>
      <c r="N801">
        <f t="shared" ca="1" si="38"/>
        <v>-6</v>
      </c>
    </row>
    <row r="802" spans="1:14" x14ac:dyDescent="0.25">
      <c r="A802" t="s">
        <v>81</v>
      </c>
      <c r="B802" t="s">
        <v>30</v>
      </c>
      <c r="C802" t="s">
        <v>113</v>
      </c>
      <c r="D802" t="s">
        <v>36</v>
      </c>
      <c r="E802" s="2">
        <v>45594</v>
      </c>
      <c r="F802" s="2">
        <v>45613</v>
      </c>
      <c r="G802" s="2">
        <v>45613</v>
      </c>
      <c r="H802" s="3">
        <v>1</v>
      </c>
      <c r="I802" s="4">
        <v>30000</v>
      </c>
      <c r="J802" s="4">
        <v>40200</v>
      </c>
      <c r="K802" t="s">
        <v>15</v>
      </c>
      <c r="L802" s="4">
        <f t="shared" si="36"/>
        <v>-10200</v>
      </c>
      <c r="M802" t="str">
        <f t="shared" si="37"/>
        <v>Over Budget</v>
      </c>
      <c r="N802">
        <f t="shared" ca="1" si="38"/>
        <v>0</v>
      </c>
    </row>
    <row r="803" spans="1:14" x14ac:dyDescent="0.25">
      <c r="A803" t="s">
        <v>42</v>
      </c>
      <c r="B803" t="s">
        <v>70</v>
      </c>
      <c r="C803" t="s">
        <v>28</v>
      </c>
      <c r="D803" t="s">
        <v>36</v>
      </c>
      <c r="E803" s="2">
        <v>45554</v>
      </c>
      <c r="F803" s="2">
        <v>45562</v>
      </c>
      <c r="G803" s="2">
        <v>45562</v>
      </c>
      <c r="H803" s="3">
        <v>1</v>
      </c>
      <c r="I803" s="4">
        <v>3000</v>
      </c>
      <c r="J803" s="4">
        <v>2700</v>
      </c>
      <c r="K803" t="s">
        <v>15</v>
      </c>
      <c r="L803" s="4">
        <f t="shared" si="36"/>
        <v>300</v>
      </c>
      <c r="M803" t="str">
        <f t="shared" si="37"/>
        <v>Within Budget</v>
      </c>
      <c r="N803">
        <f t="shared" ca="1" si="38"/>
        <v>0</v>
      </c>
    </row>
    <row r="804" spans="1:14" x14ac:dyDescent="0.25">
      <c r="A804" t="s">
        <v>11</v>
      </c>
      <c r="B804" t="s">
        <v>70</v>
      </c>
      <c r="C804" t="s">
        <v>112</v>
      </c>
      <c r="D804" t="s">
        <v>32</v>
      </c>
      <c r="E804" s="2">
        <v>45736</v>
      </c>
      <c r="F804" s="2">
        <v>45750</v>
      </c>
      <c r="G804" s="2"/>
      <c r="H804" s="3">
        <v>0</v>
      </c>
      <c r="I804" s="4">
        <v>29000</v>
      </c>
      <c r="J804" s="4">
        <v>0</v>
      </c>
      <c r="K804" t="s">
        <v>48</v>
      </c>
      <c r="L804" s="4">
        <f t="shared" si="36"/>
        <v>29000</v>
      </c>
      <c r="M804" t="str">
        <f t="shared" si="37"/>
        <v>Within Budget</v>
      </c>
      <c r="N804">
        <f t="shared" ca="1" si="38"/>
        <v>536</v>
      </c>
    </row>
    <row r="805" spans="1:14" x14ac:dyDescent="0.25">
      <c r="A805" t="s">
        <v>53</v>
      </c>
      <c r="B805" t="s">
        <v>30</v>
      </c>
      <c r="C805" t="s">
        <v>71</v>
      </c>
      <c r="D805" t="s">
        <v>36</v>
      </c>
      <c r="E805" s="2">
        <v>45655</v>
      </c>
      <c r="F805" s="2">
        <v>45666</v>
      </c>
      <c r="G805" s="2">
        <v>45657</v>
      </c>
      <c r="H805" s="3">
        <v>0.1</v>
      </c>
      <c r="I805" s="4">
        <v>33000</v>
      </c>
      <c r="J805" s="4">
        <v>10400</v>
      </c>
      <c r="K805" t="s">
        <v>27</v>
      </c>
      <c r="L805" s="4">
        <f t="shared" si="36"/>
        <v>22600</v>
      </c>
      <c r="M805" t="str">
        <f t="shared" si="37"/>
        <v>Within Budget</v>
      </c>
      <c r="N805">
        <f t="shared" ca="1" si="38"/>
        <v>-9</v>
      </c>
    </row>
    <row r="806" spans="1:14" x14ac:dyDescent="0.25">
      <c r="A806" t="s">
        <v>99</v>
      </c>
      <c r="B806" t="s">
        <v>69</v>
      </c>
      <c r="C806" t="s">
        <v>71</v>
      </c>
      <c r="D806" t="s">
        <v>23</v>
      </c>
      <c r="E806" s="2">
        <v>45563</v>
      </c>
      <c r="F806" s="2">
        <v>45594</v>
      </c>
      <c r="G806" s="2">
        <v>45607</v>
      </c>
      <c r="H806" s="3">
        <v>1</v>
      </c>
      <c r="I806" s="4">
        <v>39000</v>
      </c>
      <c r="J806" s="4">
        <v>52500</v>
      </c>
      <c r="K806" t="s">
        <v>15</v>
      </c>
      <c r="L806" s="4">
        <f t="shared" si="36"/>
        <v>-13500</v>
      </c>
      <c r="M806" t="str">
        <f t="shared" si="37"/>
        <v>Over Budget</v>
      </c>
      <c r="N806">
        <f t="shared" ca="1" si="38"/>
        <v>13</v>
      </c>
    </row>
    <row r="807" spans="1:14" x14ac:dyDescent="0.25">
      <c r="A807" t="s">
        <v>55</v>
      </c>
      <c r="B807" t="s">
        <v>43</v>
      </c>
      <c r="C807" t="s">
        <v>26</v>
      </c>
      <c r="D807" t="s">
        <v>14</v>
      </c>
      <c r="E807" s="2">
        <v>45704</v>
      </c>
      <c r="F807" s="2">
        <v>45747</v>
      </c>
      <c r="G807" s="2"/>
      <c r="H807" s="3">
        <v>0.34</v>
      </c>
      <c r="I807" s="4">
        <v>71000</v>
      </c>
      <c r="J807" s="4">
        <v>23800</v>
      </c>
      <c r="K807" t="s">
        <v>65</v>
      </c>
      <c r="L807" s="4">
        <f t="shared" si="36"/>
        <v>47200</v>
      </c>
      <c r="M807" t="str">
        <f t="shared" si="37"/>
        <v>Within Budget</v>
      </c>
      <c r="N807">
        <f t="shared" ca="1" si="38"/>
        <v>539</v>
      </c>
    </row>
    <row r="808" spans="1:14" x14ac:dyDescent="0.25">
      <c r="A808" t="s">
        <v>66</v>
      </c>
      <c r="B808" t="s">
        <v>116</v>
      </c>
      <c r="C808" t="s">
        <v>111</v>
      </c>
      <c r="D808" t="s">
        <v>23</v>
      </c>
      <c r="E808" s="2">
        <v>45346</v>
      </c>
      <c r="F808" s="2">
        <v>45368</v>
      </c>
      <c r="G808" s="2">
        <v>45384</v>
      </c>
      <c r="H808" s="3">
        <v>1</v>
      </c>
      <c r="I808" s="4">
        <v>27000</v>
      </c>
      <c r="J808" s="4">
        <v>28000</v>
      </c>
      <c r="K808" t="s">
        <v>15</v>
      </c>
      <c r="L808" s="4">
        <f t="shared" si="36"/>
        <v>-1000</v>
      </c>
      <c r="M808" t="str">
        <f t="shared" si="37"/>
        <v>Over Budget</v>
      </c>
      <c r="N808">
        <f t="shared" ca="1" si="38"/>
        <v>16</v>
      </c>
    </row>
    <row r="809" spans="1:14" x14ac:dyDescent="0.25">
      <c r="A809" t="s">
        <v>16</v>
      </c>
      <c r="B809" t="s">
        <v>86</v>
      </c>
      <c r="C809" t="s">
        <v>44</v>
      </c>
      <c r="D809" t="s">
        <v>14</v>
      </c>
      <c r="E809" s="2">
        <v>45725</v>
      </c>
      <c r="F809" s="2">
        <v>45753</v>
      </c>
      <c r="G809" s="2"/>
      <c r="H809" s="3">
        <v>0.82</v>
      </c>
      <c r="I809" s="4">
        <v>20000</v>
      </c>
      <c r="J809" s="4">
        <v>15600</v>
      </c>
      <c r="K809" t="s">
        <v>65</v>
      </c>
      <c r="L809" s="4">
        <f t="shared" si="36"/>
        <v>4400</v>
      </c>
      <c r="M809" t="str">
        <f t="shared" si="37"/>
        <v>Within Budget</v>
      </c>
      <c r="N809">
        <f t="shared" ca="1" si="38"/>
        <v>533</v>
      </c>
    </row>
    <row r="810" spans="1:14" x14ac:dyDescent="0.25">
      <c r="A810" t="s">
        <v>57</v>
      </c>
      <c r="B810" t="s">
        <v>34</v>
      </c>
      <c r="C810" t="s">
        <v>22</v>
      </c>
      <c r="D810" t="s">
        <v>32</v>
      </c>
      <c r="E810" s="2">
        <v>45395</v>
      </c>
      <c r="F810" s="2">
        <v>45425</v>
      </c>
      <c r="G810" s="2">
        <v>45426</v>
      </c>
      <c r="H810" s="3">
        <v>1</v>
      </c>
      <c r="I810" s="4">
        <v>28000</v>
      </c>
      <c r="J810" s="4">
        <v>32500</v>
      </c>
      <c r="K810" t="s">
        <v>15</v>
      </c>
      <c r="L810" s="4">
        <f t="shared" si="36"/>
        <v>-4500</v>
      </c>
      <c r="M810" t="str">
        <f t="shared" si="37"/>
        <v>Over Budget</v>
      </c>
      <c r="N810">
        <f t="shared" ca="1" si="38"/>
        <v>1</v>
      </c>
    </row>
    <row r="811" spans="1:14" x14ac:dyDescent="0.25">
      <c r="A811" t="s">
        <v>107</v>
      </c>
      <c r="B811" t="s">
        <v>101</v>
      </c>
      <c r="C811" t="s">
        <v>106</v>
      </c>
      <c r="D811" t="s">
        <v>32</v>
      </c>
      <c r="E811" s="2">
        <v>45561</v>
      </c>
      <c r="F811" s="2">
        <v>45592</v>
      </c>
      <c r="G811" s="2">
        <v>45590</v>
      </c>
      <c r="H811" s="3">
        <v>1</v>
      </c>
      <c r="I811" s="4">
        <v>94000</v>
      </c>
      <c r="J811" s="4">
        <v>121600</v>
      </c>
      <c r="K811" t="s">
        <v>15</v>
      </c>
      <c r="L811" s="4">
        <f t="shared" si="36"/>
        <v>-27600</v>
      </c>
      <c r="M811" t="str">
        <f t="shared" si="37"/>
        <v>Over Budget</v>
      </c>
      <c r="N811">
        <f t="shared" ca="1" si="38"/>
        <v>-2</v>
      </c>
    </row>
    <row r="812" spans="1:14" x14ac:dyDescent="0.25">
      <c r="A812" t="s">
        <v>83</v>
      </c>
      <c r="B812" t="s">
        <v>69</v>
      </c>
      <c r="C812" t="s">
        <v>67</v>
      </c>
      <c r="D812" t="s">
        <v>36</v>
      </c>
      <c r="E812" s="2">
        <v>45310</v>
      </c>
      <c r="F812" s="2">
        <v>45323</v>
      </c>
      <c r="G812" s="2">
        <v>45344</v>
      </c>
      <c r="H812" s="3">
        <v>1</v>
      </c>
      <c r="I812" s="4">
        <v>34000</v>
      </c>
      <c r="J812" s="4">
        <v>35400</v>
      </c>
      <c r="K812" t="s">
        <v>15</v>
      </c>
      <c r="L812" s="4">
        <f t="shared" si="36"/>
        <v>-1400</v>
      </c>
      <c r="M812" t="str">
        <f t="shared" si="37"/>
        <v>Over Budget</v>
      </c>
      <c r="N812">
        <f t="shared" ca="1" si="38"/>
        <v>21</v>
      </c>
    </row>
    <row r="813" spans="1:14" x14ac:dyDescent="0.25">
      <c r="A813" t="s">
        <v>79</v>
      </c>
      <c r="B813" t="s">
        <v>78</v>
      </c>
      <c r="C813" t="s">
        <v>39</v>
      </c>
      <c r="D813" t="s">
        <v>36</v>
      </c>
      <c r="E813" s="2">
        <v>45384</v>
      </c>
      <c r="F813" s="2">
        <v>45399</v>
      </c>
      <c r="G813" s="2"/>
      <c r="H813" s="3">
        <v>0.39</v>
      </c>
      <c r="I813" s="4">
        <v>31000</v>
      </c>
      <c r="J813" s="4">
        <v>39200</v>
      </c>
      <c r="K813" t="s">
        <v>19</v>
      </c>
      <c r="L813" s="4">
        <f t="shared" si="36"/>
        <v>-8200</v>
      </c>
      <c r="M813" t="str">
        <f t="shared" si="37"/>
        <v>Over Budget</v>
      </c>
      <c r="N813">
        <f t="shared" ca="1" si="38"/>
        <v>887</v>
      </c>
    </row>
    <row r="814" spans="1:14" x14ac:dyDescent="0.25">
      <c r="A814" t="s">
        <v>62</v>
      </c>
      <c r="B814" t="s">
        <v>80</v>
      </c>
      <c r="C814" t="s">
        <v>22</v>
      </c>
      <c r="D814" t="s">
        <v>36</v>
      </c>
      <c r="E814" s="2">
        <v>45394</v>
      </c>
      <c r="F814" s="2">
        <v>45405</v>
      </c>
      <c r="G814" s="2">
        <v>45397</v>
      </c>
      <c r="H814" s="3">
        <v>0.25</v>
      </c>
      <c r="I814" s="4">
        <v>39000</v>
      </c>
      <c r="J814" s="4">
        <v>4000</v>
      </c>
      <c r="K814" t="s">
        <v>27</v>
      </c>
      <c r="L814" s="4">
        <f t="shared" si="36"/>
        <v>35000</v>
      </c>
      <c r="M814" t="str">
        <f t="shared" si="37"/>
        <v>Within Budget</v>
      </c>
      <c r="N814">
        <f t="shared" ca="1" si="38"/>
        <v>-8</v>
      </c>
    </row>
    <row r="815" spans="1:14" x14ac:dyDescent="0.25">
      <c r="A815" t="s">
        <v>118</v>
      </c>
      <c r="B815" t="s">
        <v>125</v>
      </c>
      <c r="C815" t="s">
        <v>106</v>
      </c>
      <c r="D815" t="s">
        <v>14</v>
      </c>
      <c r="E815" s="2">
        <v>45373</v>
      </c>
      <c r="F815" s="2">
        <v>45380</v>
      </c>
      <c r="G815" s="2">
        <v>45375</v>
      </c>
      <c r="H815" s="3">
        <v>0.1</v>
      </c>
      <c r="I815" s="4">
        <v>4000</v>
      </c>
      <c r="J815" s="4">
        <v>1300</v>
      </c>
      <c r="K815" t="s">
        <v>27</v>
      </c>
      <c r="L815" s="4">
        <f t="shared" si="36"/>
        <v>2700</v>
      </c>
      <c r="M815" t="str">
        <f t="shared" si="37"/>
        <v>Within Budget</v>
      </c>
      <c r="N815">
        <f t="shared" ca="1" si="38"/>
        <v>-5</v>
      </c>
    </row>
    <row r="816" spans="1:14" x14ac:dyDescent="0.25">
      <c r="A816" t="s">
        <v>57</v>
      </c>
      <c r="B816" t="s">
        <v>123</v>
      </c>
      <c r="C816" t="s">
        <v>54</v>
      </c>
      <c r="D816" t="s">
        <v>36</v>
      </c>
      <c r="E816" s="2">
        <v>45335</v>
      </c>
      <c r="F816" s="2">
        <v>45409</v>
      </c>
      <c r="G816" s="2">
        <v>45348</v>
      </c>
      <c r="H816" s="3">
        <v>0.3</v>
      </c>
      <c r="I816" s="4">
        <v>196000</v>
      </c>
      <c r="J816" s="4">
        <v>27900</v>
      </c>
      <c r="K816" t="s">
        <v>27</v>
      </c>
      <c r="L816" s="4">
        <f t="shared" si="36"/>
        <v>168100</v>
      </c>
      <c r="M816" t="str">
        <f t="shared" si="37"/>
        <v>Within Budget</v>
      </c>
      <c r="N816">
        <f t="shared" ca="1" si="38"/>
        <v>-61</v>
      </c>
    </row>
    <row r="817" spans="1:14" x14ac:dyDescent="0.25">
      <c r="A817" t="s">
        <v>109</v>
      </c>
      <c r="B817" t="s">
        <v>119</v>
      </c>
      <c r="C817" t="s">
        <v>44</v>
      </c>
      <c r="D817" t="s">
        <v>14</v>
      </c>
      <c r="E817" s="2">
        <v>45749</v>
      </c>
      <c r="F817" s="2">
        <v>45762</v>
      </c>
      <c r="G817" s="2"/>
      <c r="H817" s="3">
        <v>0</v>
      </c>
      <c r="I817" s="4">
        <v>47000</v>
      </c>
      <c r="J817" s="4">
        <v>0</v>
      </c>
      <c r="K817" t="s">
        <v>48</v>
      </c>
      <c r="L817" s="4">
        <f t="shared" si="36"/>
        <v>47000</v>
      </c>
      <c r="M817" t="str">
        <f t="shared" si="37"/>
        <v>Within Budget</v>
      </c>
      <c r="N817">
        <f t="shared" ca="1" si="38"/>
        <v>524</v>
      </c>
    </row>
    <row r="818" spans="1:14" x14ac:dyDescent="0.25">
      <c r="A818" t="s">
        <v>107</v>
      </c>
      <c r="B818" t="s">
        <v>119</v>
      </c>
      <c r="C818" t="s">
        <v>71</v>
      </c>
      <c r="D818" t="s">
        <v>14</v>
      </c>
      <c r="E818" s="2">
        <v>45389</v>
      </c>
      <c r="F818" s="2">
        <v>45421</v>
      </c>
      <c r="G818" s="2"/>
      <c r="H818" s="3">
        <v>0.51</v>
      </c>
      <c r="I818" s="4">
        <v>36000</v>
      </c>
      <c r="J818" s="4">
        <v>30500</v>
      </c>
      <c r="K818" t="s">
        <v>19</v>
      </c>
      <c r="L818" s="4">
        <f t="shared" si="36"/>
        <v>5500</v>
      </c>
      <c r="M818" t="str">
        <f t="shared" si="37"/>
        <v>Within Budget</v>
      </c>
      <c r="N818">
        <f t="shared" ca="1" si="38"/>
        <v>865</v>
      </c>
    </row>
    <row r="819" spans="1:14" x14ac:dyDescent="0.25">
      <c r="A819" t="s">
        <v>79</v>
      </c>
      <c r="B819" t="s">
        <v>122</v>
      </c>
      <c r="C819" t="s">
        <v>28</v>
      </c>
      <c r="D819" t="s">
        <v>36</v>
      </c>
      <c r="E819" s="2">
        <v>45826</v>
      </c>
      <c r="F819" s="2">
        <v>45852</v>
      </c>
      <c r="G819" s="2"/>
      <c r="H819" s="3">
        <v>0</v>
      </c>
      <c r="I819" s="4">
        <v>18000</v>
      </c>
      <c r="J819" s="4">
        <v>0</v>
      </c>
      <c r="K819" t="s">
        <v>48</v>
      </c>
      <c r="L819" s="4">
        <f t="shared" si="36"/>
        <v>18000</v>
      </c>
      <c r="M819" t="str">
        <f t="shared" si="37"/>
        <v>Within Budget</v>
      </c>
      <c r="N819">
        <f t="shared" ca="1" si="38"/>
        <v>434</v>
      </c>
    </row>
    <row r="820" spans="1:14" x14ac:dyDescent="0.25">
      <c r="A820" t="s">
        <v>33</v>
      </c>
      <c r="B820" t="s">
        <v>12</v>
      </c>
      <c r="C820" t="s">
        <v>47</v>
      </c>
      <c r="D820" t="s">
        <v>14</v>
      </c>
      <c r="E820" s="2">
        <v>45637</v>
      </c>
      <c r="F820" s="2">
        <v>45665</v>
      </c>
      <c r="G820" s="2">
        <v>45681</v>
      </c>
      <c r="H820" s="3">
        <v>1</v>
      </c>
      <c r="I820" s="4">
        <v>27000</v>
      </c>
      <c r="J820" s="4">
        <v>34200</v>
      </c>
      <c r="K820" t="s">
        <v>15</v>
      </c>
      <c r="L820" s="4">
        <f t="shared" si="36"/>
        <v>-7200</v>
      </c>
      <c r="M820" t="str">
        <f t="shared" si="37"/>
        <v>Over Budget</v>
      </c>
      <c r="N820">
        <f t="shared" ca="1" si="38"/>
        <v>16</v>
      </c>
    </row>
    <row r="821" spans="1:14" x14ac:dyDescent="0.25">
      <c r="A821" t="s">
        <v>29</v>
      </c>
      <c r="B821" t="s">
        <v>108</v>
      </c>
      <c r="C821" t="s">
        <v>28</v>
      </c>
      <c r="D821" t="s">
        <v>36</v>
      </c>
      <c r="E821" s="2">
        <v>45593</v>
      </c>
      <c r="F821" s="2">
        <v>45619</v>
      </c>
      <c r="G821" s="2">
        <v>45663</v>
      </c>
      <c r="H821" s="3">
        <v>1</v>
      </c>
      <c r="I821" s="4">
        <v>41000</v>
      </c>
      <c r="J821" s="4">
        <v>46800</v>
      </c>
      <c r="K821" t="s">
        <v>15</v>
      </c>
      <c r="L821" s="4">
        <f t="shared" si="36"/>
        <v>-5800</v>
      </c>
      <c r="M821" t="str">
        <f t="shared" si="37"/>
        <v>Over Budget</v>
      </c>
      <c r="N821">
        <f t="shared" ca="1" si="38"/>
        <v>44</v>
      </c>
    </row>
    <row r="822" spans="1:14" x14ac:dyDescent="0.25">
      <c r="A822" t="s">
        <v>120</v>
      </c>
      <c r="B822" t="s">
        <v>93</v>
      </c>
      <c r="C822" t="s">
        <v>13</v>
      </c>
      <c r="D822" t="s">
        <v>14</v>
      </c>
      <c r="E822" s="2">
        <v>45320</v>
      </c>
      <c r="F822" s="2">
        <v>45331</v>
      </c>
      <c r="G822" s="2">
        <v>45367</v>
      </c>
      <c r="H822" s="3">
        <v>1</v>
      </c>
      <c r="I822" s="4">
        <v>15000</v>
      </c>
      <c r="J822" s="4">
        <v>19500</v>
      </c>
      <c r="K822" t="s">
        <v>15</v>
      </c>
      <c r="L822" s="4">
        <f t="shared" si="36"/>
        <v>-4500</v>
      </c>
      <c r="M822" t="str">
        <f t="shared" si="37"/>
        <v>Over Budget</v>
      </c>
      <c r="N822">
        <f t="shared" ca="1" si="38"/>
        <v>36</v>
      </c>
    </row>
    <row r="823" spans="1:14" x14ac:dyDescent="0.25">
      <c r="A823" t="s">
        <v>99</v>
      </c>
      <c r="B823" t="s">
        <v>125</v>
      </c>
      <c r="C823" t="s">
        <v>111</v>
      </c>
      <c r="D823" t="s">
        <v>14</v>
      </c>
      <c r="E823" s="2">
        <v>45512</v>
      </c>
      <c r="F823" s="2">
        <v>45524</v>
      </c>
      <c r="G823" s="2">
        <v>45525</v>
      </c>
      <c r="H823" s="3">
        <v>1</v>
      </c>
      <c r="I823" s="4">
        <v>28000</v>
      </c>
      <c r="J823" s="4">
        <v>35400</v>
      </c>
      <c r="K823" t="s">
        <v>15</v>
      </c>
      <c r="L823" s="4">
        <f t="shared" si="36"/>
        <v>-7400</v>
      </c>
      <c r="M823" t="str">
        <f t="shared" si="37"/>
        <v>Over Budget</v>
      </c>
      <c r="N823">
        <f t="shared" ca="1" si="38"/>
        <v>1</v>
      </c>
    </row>
    <row r="824" spans="1:14" x14ac:dyDescent="0.25">
      <c r="A824" t="s">
        <v>120</v>
      </c>
      <c r="B824" t="s">
        <v>63</v>
      </c>
      <c r="C824" t="s">
        <v>105</v>
      </c>
      <c r="D824" t="s">
        <v>14</v>
      </c>
      <c r="E824" s="2">
        <v>45773</v>
      </c>
      <c r="F824" s="2">
        <v>45782</v>
      </c>
      <c r="G824" s="2"/>
      <c r="H824" s="3">
        <v>0</v>
      </c>
      <c r="I824" s="4">
        <v>6000</v>
      </c>
      <c r="J824" s="4">
        <v>0</v>
      </c>
      <c r="K824" t="s">
        <v>48</v>
      </c>
      <c r="L824" s="4">
        <f t="shared" si="36"/>
        <v>6000</v>
      </c>
      <c r="M824" t="str">
        <f t="shared" si="37"/>
        <v>Within Budget</v>
      </c>
      <c r="N824">
        <f t="shared" ca="1" si="38"/>
        <v>504</v>
      </c>
    </row>
    <row r="825" spans="1:14" x14ac:dyDescent="0.25">
      <c r="A825" t="s">
        <v>16</v>
      </c>
      <c r="B825" t="s">
        <v>56</v>
      </c>
      <c r="C825" t="s">
        <v>52</v>
      </c>
      <c r="D825" t="s">
        <v>14</v>
      </c>
      <c r="E825" s="2">
        <v>45711</v>
      </c>
      <c r="F825" s="2">
        <v>45719</v>
      </c>
      <c r="G825" s="2"/>
      <c r="H825" s="3">
        <v>0.5</v>
      </c>
      <c r="I825" s="4">
        <v>15000</v>
      </c>
      <c r="J825" s="4">
        <v>6000</v>
      </c>
      <c r="K825" t="s">
        <v>65</v>
      </c>
      <c r="L825" s="4">
        <f t="shared" si="36"/>
        <v>9000</v>
      </c>
      <c r="M825" t="str">
        <f t="shared" si="37"/>
        <v>Within Budget</v>
      </c>
      <c r="N825">
        <f t="shared" ca="1" si="38"/>
        <v>567</v>
      </c>
    </row>
    <row r="826" spans="1:14" x14ac:dyDescent="0.25">
      <c r="A826" t="s">
        <v>99</v>
      </c>
      <c r="B826" t="s">
        <v>89</v>
      </c>
      <c r="C826" t="s">
        <v>52</v>
      </c>
      <c r="D826" t="s">
        <v>36</v>
      </c>
      <c r="E826" s="2">
        <v>45631</v>
      </c>
      <c r="F826" s="2">
        <v>45660</v>
      </c>
      <c r="G826" s="2"/>
      <c r="H826" s="3">
        <v>0.34</v>
      </c>
      <c r="I826" s="4">
        <v>39000</v>
      </c>
      <c r="J826" s="4">
        <v>31900</v>
      </c>
      <c r="K826" t="s">
        <v>19</v>
      </c>
      <c r="L826" s="4">
        <f t="shared" si="36"/>
        <v>7100</v>
      </c>
      <c r="M826" t="str">
        <f t="shared" si="37"/>
        <v>Within Budget</v>
      </c>
      <c r="N826">
        <f t="shared" ca="1" si="38"/>
        <v>626</v>
      </c>
    </row>
    <row r="827" spans="1:14" x14ac:dyDescent="0.25">
      <c r="A827" t="s">
        <v>107</v>
      </c>
      <c r="B827" t="s">
        <v>49</v>
      </c>
      <c r="C827" t="s">
        <v>13</v>
      </c>
      <c r="D827" t="s">
        <v>23</v>
      </c>
      <c r="E827" s="2">
        <v>45712</v>
      </c>
      <c r="F827" s="2">
        <v>45722</v>
      </c>
      <c r="G827" s="2"/>
      <c r="H827" s="3">
        <v>0.62</v>
      </c>
      <c r="I827" s="4">
        <v>2000</v>
      </c>
      <c r="J827" s="4">
        <v>800</v>
      </c>
      <c r="K827" t="s">
        <v>94</v>
      </c>
      <c r="L827" s="4">
        <f t="shared" si="36"/>
        <v>1200</v>
      </c>
      <c r="M827" t="str">
        <f t="shared" si="37"/>
        <v>Within Budget</v>
      </c>
      <c r="N827">
        <f t="shared" ca="1" si="38"/>
        <v>564</v>
      </c>
    </row>
    <row r="828" spans="1:14" x14ac:dyDescent="0.25">
      <c r="A828" t="s">
        <v>107</v>
      </c>
      <c r="B828" t="s">
        <v>122</v>
      </c>
      <c r="C828" t="s">
        <v>113</v>
      </c>
      <c r="D828" t="s">
        <v>32</v>
      </c>
      <c r="E828" s="2">
        <v>45576</v>
      </c>
      <c r="F828" s="2">
        <v>45617</v>
      </c>
      <c r="G828" s="2">
        <v>45642</v>
      </c>
      <c r="H828" s="3">
        <v>1</v>
      </c>
      <c r="I828" s="4">
        <v>86000</v>
      </c>
      <c r="J828" s="4">
        <v>75200</v>
      </c>
      <c r="K828" t="s">
        <v>15</v>
      </c>
      <c r="L828" s="4">
        <f t="shared" si="36"/>
        <v>10800</v>
      </c>
      <c r="M828" t="str">
        <f t="shared" si="37"/>
        <v>Within Budget</v>
      </c>
      <c r="N828">
        <f t="shared" ca="1" si="38"/>
        <v>25</v>
      </c>
    </row>
    <row r="829" spans="1:14" x14ac:dyDescent="0.25">
      <c r="A829" t="s">
        <v>83</v>
      </c>
      <c r="B829" t="s">
        <v>108</v>
      </c>
      <c r="C829" t="s">
        <v>41</v>
      </c>
      <c r="D829" t="s">
        <v>14</v>
      </c>
      <c r="E829" s="2">
        <v>45435</v>
      </c>
      <c r="F829" s="2">
        <v>45460</v>
      </c>
      <c r="G829" s="2">
        <v>45478</v>
      </c>
      <c r="H829" s="3">
        <v>1</v>
      </c>
      <c r="I829" s="4">
        <v>26000</v>
      </c>
      <c r="J829" s="4">
        <v>28600</v>
      </c>
      <c r="K829" t="s">
        <v>15</v>
      </c>
      <c r="L829" s="4">
        <f t="shared" si="36"/>
        <v>-2600</v>
      </c>
      <c r="M829" t="str">
        <f t="shared" si="37"/>
        <v>Over Budget</v>
      </c>
      <c r="N829">
        <f t="shared" ca="1" si="38"/>
        <v>18</v>
      </c>
    </row>
    <row r="830" spans="1:14" x14ac:dyDescent="0.25">
      <c r="A830" t="s">
        <v>45</v>
      </c>
      <c r="B830" t="s">
        <v>12</v>
      </c>
      <c r="C830" t="s">
        <v>54</v>
      </c>
      <c r="D830" t="s">
        <v>36</v>
      </c>
      <c r="E830" s="2">
        <v>45562</v>
      </c>
      <c r="F830" s="2">
        <v>45586</v>
      </c>
      <c r="G830" s="2"/>
      <c r="H830" s="3">
        <v>0.32</v>
      </c>
      <c r="I830" s="4">
        <v>18000</v>
      </c>
      <c r="J830" s="4">
        <v>14700</v>
      </c>
      <c r="K830" t="s">
        <v>19</v>
      </c>
      <c r="L830" s="4">
        <f t="shared" si="36"/>
        <v>3300</v>
      </c>
      <c r="M830" t="str">
        <f t="shared" si="37"/>
        <v>Within Budget</v>
      </c>
      <c r="N830">
        <f t="shared" ca="1" si="38"/>
        <v>700</v>
      </c>
    </row>
    <row r="831" spans="1:14" x14ac:dyDescent="0.25">
      <c r="A831" t="s">
        <v>20</v>
      </c>
      <c r="B831" t="s">
        <v>46</v>
      </c>
      <c r="C831" t="s">
        <v>111</v>
      </c>
      <c r="D831" t="s">
        <v>23</v>
      </c>
      <c r="E831" s="2">
        <v>45326</v>
      </c>
      <c r="F831" s="2">
        <v>45335</v>
      </c>
      <c r="G831" s="2">
        <v>45337</v>
      </c>
      <c r="H831" s="3">
        <v>1</v>
      </c>
      <c r="I831" s="4">
        <v>9000</v>
      </c>
      <c r="J831" s="4">
        <v>8800</v>
      </c>
      <c r="K831" t="s">
        <v>15</v>
      </c>
      <c r="L831" s="4">
        <f t="shared" si="36"/>
        <v>200</v>
      </c>
      <c r="M831" t="str">
        <f t="shared" si="37"/>
        <v>Within Budget</v>
      </c>
      <c r="N831">
        <f t="shared" ca="1" si="38"/>
        <v>2</v>
      </c>
    </row>
    <row r="832" spans="1:14" x14ac:dyDescent="0.25">
      <c r="A832" t="s">
        <v>50</v>
      </c>
      <c r="B832" t="s">
        <v>76</v>
      </c>
      <c r="C832" t="s">
        <v>39</v>
      </c>
      <c r="D832" t="s">
        <v>14</v>
      </c>
      <c r="E832" s="2">
        <v>45650</v>
      </c>
      <c r="F832" s="2">
        <v>45671</v>
      </c>
      <c r="G832" s="2">
        <v>45666</v>
      </c>
      <c r="H832" s="3">
        <v>1</v>
      </c>
      <c r="I832" s="4">
        <v>14000</v>
      </c>
      <c r="J832" s="4">
        <v>17300</v>
      </c>
      <c r="K832" t="s">
        <v>15</v>
      </c>
      <c r="L832" s="4">
        <f t="shared" si="36"/>
        <v>-3300</v>
      </c>
      <c r="M832" t="str">
        <f t="shared" si="37"/>
        <v>Over Budget</v>
      </c>
      <c r="N832">
        <f t="shared" ca="1" si="38"/>
        <v>-5</v>
      </c>
    </row>
    <row r="833" spans="1:14" x14ac:dyDescent="0.25">
      <c r="A833" t="s">
        <v>24</v>
      </c>
      <c r="B833" t="s">
        <v>85</v>
      </c>
      <c r="C833" t="s">
        <v>28</v>
      </c>
      <c r="D833" t="s">
        <v>32</v>
      </c>
      <c r="E833" s="2">
        <v>45670</v>
      </c>
      <c r="F833" s="2">
        <v>45701</v>
      </c>
      <c r="G833" s="2">
        <v>45716</v>
      </c>
      <c r="H833" s="3">
        <v>1</v>
      </c>
      <c r="I833" s="4">
        <v>77000</v>
      </c>
      <c r="J833" s="4">
        <v>66000</v>
      </c>
      <c r="K833" t="s">
        <v>15</v>
      </c>
      <c r="L833" s="4">
        <f t="shared" si="36"/>
        <v>11000</v>
      </c>
      <c r="M833" t="str">
        <f t="shared" si="37"/>
        <v>Within Budget</v>
      </c>
      <c r="N833">
        <f t="shared" ca="1" si="38"/>
        <v>15</v>
      </c>
    </row>
    <row r="834" spans="1:14" x14ac:dyDescent="0.25">
      <c r="A834" t="s">
        <v>53</v>
      </c>
      <c r="B834" t="s">
        <v>124</v>
      </c>
      <c r="C834" t="s">
        <v>87</v>
      </c>
      <c r="D834" t="s">
        <v>36</v>
      </c>
      <c r="E834" s="2">
        <v>45756</v>
      </c>
      <c r="F834" s="2">
        <v>45799</v>
      </c>
      <c r="G834" s="2"/>
      <c r="H834" s="3">
        <v>0</v>
      </c>
      <c r="I834" s="4">
        <v>67000</v>
      </c>
      <c r="J834" s="4">
        <v>0</v>
      </c>
      <c r="K834" t="s">
        <v>48</v>
      </c>
      <c r="L834" s="4">
        <f t="shared" si="36"/>
        <v>67000</v>
      </c>
      <c r="M834" t="str">
        <f t="shared" si="37"/>
        <v>Within Budget</v>
      </c>
      <c r="N834">
        <f t="shared" ca="1" si="38"/>
        <v>487</v>
      </c>
    </row>
    <row r="835" spans="1:14" x14ac:dyDescent="0.25">
      <c r="A835" t="s">
        <v>24</v>
      </c>
      <c r="B835" t="s">
        <v>122</v>
      </c>
      <c r="C835" t="s">
        <v>111</v>
      </c>
      <c r="D835" t="s">
        <v>23</v>
      </c>
      <c r="E835" s="2">
        <v>45685</v>
      </c>
      <c r="F835" s="2">
        <v>45708</v>
      </c>
      <c r="G835" s="2"/>
      <c r="H835" s="3">
        <v>0.6</v>
      </c>
      <c r="I835" s="4">
        <v>37000</v>
      </c>
      <c r="J835" s="4">
        <v>6000</v>
      </c>
      <c r="K835" t="s">
        <v>94</v>
      </c>
      <c r="L835" s="4">
        <f t="shared" ref="L835:L898" si="39">I835-J835</f>
        <v>31000</v>
      </c>
      <c r="M835" t="str">
        <f t="shared" ref="M835:M898" si="40">IF(L835&lt;0, "Over Budget", "Within Budget")</f>
        <v>Within Budget</v>
      </c>
      <c r="N835">
        <f t="shared" ref="N835:N898" ca="1" si="41">IF(G835="",TODAY()-F835,G835-F835)</f>
        <v>578</v>
      </c>
    </row>
    <row r="836" spans="1:14" x14ac:dyDescent="0.25">
      <c r="A836" t="s">
        <v>29</v>
      </c>
      <c r="B836" t="s">
        <v>110</v>
      </c>
      <c r="C836" t="s">
        <v>60</v>
      </c>
      <c r="D836" t="s">
        <v>23</v>
      </c>
      <c r="E836" s="2">
        <v>45312</v>
      </c>
      <c r="F836" s="2">
        <v>45346</v>
      </c>
      <c r="G836" s="2">
        <v>45325</v>
      </c>
      <c r="H836" s="3">
        <v>0.3</v>
      </c>
      <c r="I836" s="4">
        <v>91000</v>
      </c>
      <c r="J836" s="4">
        <v>8600</v>
      </c>
      <c r="K836" t="s">
        <v>27</v>
      </c>
      <c r="L836" s="4">
        <f t="shared" si="39"/>
        <v>82400</v>
      </c>
      <c r="M836" t="str">
        <f t="shared" si="40"/>
        <v>Within Budget</v>
      </c>
      <c r="N836">
        <f t="shared" ca="1" si="41"/>
        <v>-21</v>
      </c>
    </row>
    <row r="837" spans="1:14" x14ac:dyDescent="0.25">
      <c r="A837" t="s">
        <v>81</v>
      </c>
      <c r="B837" t="s">
        <v>76</v>
      </c>
      <c r="C837" t="s">
        <v>67</v>
      </c>
      <c r="D837" t="s">
        <v>23</v>
      </c>
      <c r="E837" s="2">
        <v>45494</v>
      </c>
      <c r="F837" s="2">
        <v>45521</v>
      </c>
      <c r="G837" s="2">
        <v>45523</v>
      </c>
      <c r="H837" s="3">
        <v>1</v>
      </c>
      <c r="I837" s="4">
        <v>36000</v>
      </c>
      <c r="J837" s="4">
        <v>48700</v>
      </c>
      <c r="K837" t="s">
        <v>15</v>
      </c>
      <c r="L837" s="4">
        <f t="shared" si="39"/>
        <v>-12700</v>
      </c>
      <c r="M837" t="str">
        <f t="shared" si="40"/>
        <v>Over Budget</v>
      </c>
      <c r="N837">
        <f t="shared" ca="1" si="41"/>
        <v>2</v>
      </c>
    </row>
    <row r="838" spans="1:14" x14ac:dyDescent="0.25">
      <c r="A838" t="s">
        <v>42</v>
      </c>
      <c r="B838" t="s">
        <v>85</v>
      </c>
      <c r="C838" t="s">
        <v>41</v>
      </c>
      <c r="D838" t="s">
        <v>23</v>
      </c>
      <c r="E838" s="2">
        <v>45544</v>
      </c>
      <c r="F838" s="2">
        <v>45576</v>
      </c>
      <c r="G838" s="2">
        <v>45554</v>
      </c>
      <c r="H838" s="3">
        <v>0.2</v>
      </c>
      <c r="I838" s="4">
        <v>55000</v>
      </c>
      <c r="J838" s="4">
        <v>19000</v>
      </c>
      <c r="K838" t="s">
        <v>27</v>
      </c>
      <c r="L838" s="4">
        <f t="shared" si="39"/>
        <v>36000</v>
      </c>
      <c r="M838" t="str">
        <f t="shared" si="40"/>
        <v>Within Budget</v>
      </c>
      <c r="N838">
        <f t="shared" ca="1" si="41"/>
        <v>-22</v>
      </c>
    </row>
    <row r="839" spans="1:14" x14ac:dyDescent="0.25">
      <c r="A839" t="s">
        <v>68</v>
      </c>
      <c r="B839" t="s">
        <v>80</v>
      </c>
      <c r="C839" t="s">
        <v>71</v>
      </c>
      <c r="D839" t="s">
        <v>23</v>
      </c>
      <c r="E839" s="2">
        <v>45491</v>
      </c>
      <c r="F839" s="2">
        <v>45503</v>
      </c>
      <c r="G839" s="2">
        <v>45498</v>
      </c>
      <c r="H839" s="3">
        <v>1</v>
      </c>
      <c r="I839" s="4">
        <v>12000</v>
      </c>
      <c r="J839" s="4">
        <v>14000</v>
      </c>
      <c r="K839" t="s">
        <v>15</v>
      </c>
      <c r="L839" s="4">
        <f t="shared" si="39"/>
        <v>-2000</v>
      </c>
      <c r="M839" t="str">
        <f t="shared" si="40"/>
        <v>Over Budget</v>
      </c>
      <c r="N839">
        <f t="shared" ca="1" si="41"/>
        <v>-5</v>
      </c>
    </row>
    <row r="840" spans="1:14" x14ac:dyDescent="0.25">
      <c r="A840" t="s">
        <v>83</v>
      </c>
      <c r="B840" t="s">
        <v>76</v>
      </c>
      <c r="C840" t="s">
        <v>61</v>
      </c>
      <c r="D840" t="s">
        <v>23</v>
      </c>
      <c r="E840" s="2">
        <v>45824</v>
      </c>
      <c r="F840" s="2">
        <v>45843</v>
      </c>
      <c r="G840" s="2"/>
      <c r="H840" s="3">
        <v>0</v>
      </c>
      <c r="I840" s="4">
        <v>17000</v>
      </c>
      <c r="J840" s="4">
        <v>0</v>
      </c>
      <c r="K840" t="s">
        <v>48</v>
      </c>
      <c r="L840" s="4">
        <f t="shared" si="39"/>
        <v>17000</v>
      </c>
      <c r="M840" t="str">
        <f t="shared" si="40"/>
        <v>Within Budget</v>
      </c>
      <c r="N840">
        <f t="shared" ca="1" si="41"/>
        <v>443</v>
      </c>
    </row>
    <row r="841" spans="1:14" x14ac:dyDescent="0.25">
      <c r="A841" t="s">
        <v>55</v>
      </c>
      <c r="B841" t="s">
        <v>89</v>
      </c>
      <c r="C841" t="s">
        <v>39</v>
      </c>
      <c r="D841" t="s">
        <v>14</v>
      </c>
      <c r="E841" s="2">
        <v>45629</v>
      </c>
      <c r="F841" s="2">
        <v>45650</v>
      </c>
      <c r="G841" s="2">
        <v>45638</v>
      </c>
      <c r="H841" s="3">
        <v>0</v>
      </c>
      <c r="I841" s="4">
        <v>11000</v>
      </c>
      <c r="J841" s="4">
        <v>2300</v>
      </c>
      <c r="K841" t="s">
        <v>27</v>
      </c>
      <c r="L841" s="4">
        <f t="shared" si="39"/>
        <v>8700</v>
      </c>
      <c r="M841" t="str">
        <f t="shared" si="40"/>
        <v>Within Budget</v>
      </c>
      <c r="N841">
        <f t="shared" ca="1" si="41"/>
        <v>-12</v>
      </c>
    </row>
    <row r="842" spans="1:14" x14ac:dyDescent="0.25">
      <c r="A842" t="s">
        <v>120</v>
      </c>
      <c r="B842" t="s">
        <v>95</v>
      </c>
      <c r="C842" t="s">
        <v>52</v>
      </c>
      <c r="D842" t="s">
        <v>36</v>
      </c>
      <c r="E842" s="2">
        <v>45494</v>
      </c>
      <c r="F842" s="2">
        <v>45527</v>
      </c>
      <c r="G842" s="2">
        <v>45528</v>
      </c>
      <c r="H842" s="3">
        <v>1</v>
      </c>
      <c r="I842" s="4">
        <v>52000</v>
      </c>
      <c r="J842" s="4">
        <v>44400</v>
      </c>
      <c r="K842" t="s">
        <v>15</v>
      </c>
      <c r="L842" s="4">
        <f t="shared" si="39"/>
        <v>7600</v>
      </c>
      <c r="M842" t="str">
        <f t="shared" si="40"/>
        <v>Within Budget</v>
      </c>
      <c r="N842">
        <f t="shared" ca="1" si="41"/>
        <v>1</v>
      </c>
    </row>
    <row r="843" spans="1:14" x14ac:dyDescent="0.25">
      <c r="A843" t="s">
        <v>29</v>
      </c>
      <c r="B843" t="s">
        <v>88</v>
      </c>
      <c r="C843" t="s">
        <v>61</v>
      </c>
      <c r="D843" t="s">
        <v>36</v>
      </c>
      <c r="E843" s="2">
        <v>45446</v>
      </c>
      <c r="F843" s="2">
        <v>45463</v>
      </c>
      <c r="G843" s="2">
        <v>45459</v>
      </c>
      <c r="H843" s="3">
        <v>1</v>
      </c>
      <c r="I843" s="4">
        <v>48000</v>
      </c>
      <c r="J843" s="4">
        <v>45900</v>
      </c>
      <c r="K843" t="s">
        <v>15</v>
      </c>
      <c r="L843" s="4">
        <f t="shared" si="39"/>
        <v>2100</v>
      </c>
      <c r="M843" t="str">
        <f t="shared" si="40"/>
        <v>Within Budget</v>
      </c>
      <c r="N843">
        <f t="shared" ca="1" si="41"/>
        <v>-4</v>
      </c>
    </row>
    <row r="844" spans="1:14" x14ac:dyDescent="0.25">
      <c r="A844" t="s">
        <v>79</v>
      </c>
      <c r="B844" t="s">
        <v>95</v>
      </c>
      <c r="C844" t="s">
        <v>100</v>
      </c>
      <c r="D844" t="s">
        <v>32</v>
      </c>
      <c r="E844" s="2">
        <v>45347</v>
      </c>
      <c r="F844" s="2">
        <v>45374</v>
      </c>
      <c r="G844" s="2">
        <v>45380</v>
      </c>
      <c r="H844" s="3">
        <v>1</v>
      </c>
      <c r="I844" s="4">
        <v>16000</v>
      </c>
      <c r="J844" s="4">
        <v>18800</v>
      </c>
      <c r="K844" t="s">
        <v>15</v>
      </c>
      <c r="L844" s="4">
        <f t="shared" si="39"/>
        <v>-2800</v>
      </c>
      <c r="M844" t="str">
        <f t="shared" si="40"/>
        <v>Over Budget</v>
      </c>
      <c r="N844">
        <f t="shared" ca="1" si="41"/>
        <v>6</v>
      </c>
    </row>
    <row r="845" spans="1:14" x14ac:dyDescent="0.25">
      <c r="A845" t="s">
        <v>33</v>
      </c>
      <c r="B845" t="s">
        <v>75</v>
      </c>
      <c r="C845" t="s">
        <v>39</v>
      </c>
      <c r="D845" t="s">
        <v>14</v>
      </c>
      <c r="E845" s="2">
        <v>45404</v>
      </c>
      <c r="F845" s="2">
        <v>45413</v>
      </c>
      <c r="G845" s="2"/>
      <c r="H845" s="3">
        <v>0.71</v>
      </c>
      <c r="I845" s="4">
        <v>13000</v>
      </c>
      <c r="J845" s="4">
        <v>11600</v>
      </c>
      <c r="K845" t="s">
        <v>19</v>
      </c>
      <c r="L845" s="4">
        <f t="shared" si="39"/>
        <v>1400</v>
      </c>
      <c r="M845" t="str">
        <f t="shared" si="40"/>
        <v>Within Budget</v>
      </c>
      <c r="N845">
        <f t="shared" ca="1" si="41"/>
        <v>873</v>
      </c>
    </row>
    <row r="846" spans="1:14" x14ac:dyDescent="0.25">
      <c r="A846" t="s">
        <v>121</v>
      </c>
      <c r="B846" t="s">
        <v>30</v>
      </c>
      <c r="C846" t="s">
        <v>44</v>
      </c>
      <c r="D846" t="s">
        <v>23</v>
      </c>
      <c r="E846" s="2">
        <v>45521</v>
      </c>
      <c r="F846" s="2">
        <v>45538</v>
      </c>
      <c r="G846" s="2">
        <v>45524</v>
      </c>
      <c r="H846" s="3">
        <v>0.15</v>
      </c>
      <c r="I846" s="4">
        <v>46000</v>
      </c>
      <c r="J846" s="4">
        <v>12200</v>
      </c>
      <c r="K846" t="s">
        <v>27</v>
      </c>
      <c r="L846" s="4">
        <f t="shared" si="39"/>
        <v>33800</v>
      </c>
      <c r="M846" t="str">
        <f t="shared" si="40"/>
        <v>Within Budget</v>
      </c>
      <c r="N846">
        <f t="shared" ca="1" si="41"/>
        <v>-14</v>
      </c>
    </row>
    <row r="847" spans="1:14" x14ac:dyDescent="0.25">
      <c r="A847" t="s">
        <v>83</v>
      </c>
      <c r="B847" t="s">
        <v>84</v>
      </c>
      <c r="C847" t="s">
        <v>112</v>
      </c>
      <c r="D847" t="s">
        <v>14</v>
      </c>
      <c r="E847" s="2">
        <v>45400</v>
      </c>
      <c r="F847" s="2">
        <v>45422</v>
      </c>
      <c r="G847" s="2"/>
      <c r="H847" s="3">
        <v>0.32</v>
      </c>
      <c r="I847" s="4">
        <v>12000</v>
      </c>
      <c r="J847" s="4">
        <v>11600</v>
      </c>
      <c r="K847" t="s">
        <v>19</v>
      </c>
      <c r="L847" s="4">
        <f t="shared" si="39"/>
        <v>400</v>
      </c>
      <c r="M847" t="str">
        <f t="shared" si="40"/>
        <v>Within Budget</v>
      </c>
      <c r="N847">
        <f t="shared" ca="1" si="41"/>
        <v>864</v>
      </c>
    </row>
    <row r="848" spans="1:14" x14ac:dyDescent="0.25">
      <c r="A848" t="s">
        <v>72</v>
      </c>
      <c r="B848" t="s">
        <v>21</v>
      </c>
      <c r="C848" t="s">
        <v>60</v>
      </c>
      <c r="D848" t="s">
        <v>23</v>
      </c>
      <c r="E848" s="2">
        <v>45829</v>
      </c>
      <c r="F848" s="2">
        <v>45861</v>
      </c>
      <c r="G848" s="2"/>
      <c r="H848" s="3">
        <v>0</v>
      </c>
      <c r="I848" s="4">
        <v>93000</v>
      </c>
      <c r="J848" s="4">
        <v>0</v>
      </c>
      <c r="K848" t="s">
        <v>48</v>
      </c>
      <c r="L848" s="4">
        <f t="shared" si="39"/>
        <v>93000</v>
      </c>
      <c r="M848" t="str">
        <f t="shared" si="40"/>
        <v>Within Budget</v>
      </c>
      <c r="N848">
        <f t="shared" ca="1" si="41"/>
        <v>425</v>
      </c>
    </row>
    <row r="849" spans="1:14" x14ac:dyDescent="0.25">
      <c r="A849" t="s">
        <v>57</v>
      </c>
      <c r="B849" t="s">
        <v>74</v>
      </c>
      <c r="C849" t="s">
        <v>31</v>
      </c>
      <c r="D849" t="s">
        <v>36</v>
      </c>
      <c r="E849" s="2">
        <v>45783</v>
      </c>
      <c r="F849" s="2">
        <v>45798</v>
      </c>
      <c r="G849" s="2"/>
      <c r="H849" s="3">
        <v>0</v>
      </c>
      <c r="I849" s="4">
        <v>44000</v>
      </c>
      <c r="J849" s="4">
        <v>0</v>
      </c>
      <c r="K849" t="s">
        <v>48</v>
      </c>
      <c r="L849" s="4">
        <f t="shared" si="39"/>
        <v>44000</v>
      </c>
      <c r="M849" t="str">
        <f t="shared" si="40"/>
        <v>Within Budget</v>
      </c>
      <c r="N849">
        <f t="shared" ca="1" si="41"/>
        <v>488</v>
      </c>
    </row>
    <row r="850" spans="1:14" x14ac:dyDescent="0.25">
      <c r="A850" t="s">
        <v>37</v>
      </c>
      <c r="B850" t="s">
        <v>108</v>
      </c>
      <c r="C850" t="s">
        <v>52</v>
      </c>
      <c r="D850" t="s">
        <v>23</v>
      </c>
      <c r="E850" s="2">
        <v>45359</v>
      </c>
      <c r="F850" s="2">
        <v>45388</v>
      </c>
      <c r="G850" s="2"/>
      <c r="H850" s="3">
        <v>0.85</v>
      </c>
      <c r="I850" s="4">
        <v>24000</v>
      </c>
      <c r="J850" s="4">
        <v>29700</v>
      </c>
      <c r="K850" t="s">
        <v>19</v>
      </c>
      <c r="L850" s="4">
        <f t="shared" si="39"/>
        <v>-5700</v>
      </c>
      <c r="M850" t="str">
        <f t="shared" si="40"/>
        <v>Over Budget</v>
      </c>
      <c r="N850">
        <f t="shared" ca="1" si="41"/>
        <v>898</v>
      </c>
    </row>
    <row r="851" spans="1:14" x14ac:dyDescent="0.25">
      <c r="A851" t="s">
        <v>79</v>
      </c>
      <c r="B851" t="s">
        <v>30</v>
      </c>
      <c r="C851" t="s">
        <v>22</v>
      </c>
      <c r="D851" t="s">
        <v>14</v>
      </c>
      <c r="E851" s="2">
        <v>45563</v>
      </c>
      <c r="F851" s="2">
        <v>45591</v>
      </c>
      <c r="G851" s="2">
        <v>45595</v>
      </c>
      <c r="H851" s="3">
        <v>1</v>
      </c>
      <c r="I851" s="4">
        <v>23000</v>
      </c>
      <c r="J851" s="4">
        <v>31400</v>
      </c>
      <c r="K851" t="s">
        <v>15</v>
      </c>
      <c r="L851" s="4">
        <f t="shared" si="39"/>
        <v>-8400</v>
      </c>
      <c r="M851" t="str">
        <f t="shared" si="40"/>
        <v>Over Budget</v>
      </c>
      <c r="N851">
        <f t="shared" ca="1" si="41"/>
        <v>4</v>
      </c>
    </row>
    <row r="852" spans="1:14" x14ac:dyDescent="0.25">
      <c r="A852" t="s">
        <v>50</v>
      </c>
      <c r="B852" t="s">
        <v>34</v>
      </c>
      <c r="C852" t="s">
        <v>61</v>
      </c>
      <c r="D852" t="s">
        <v>32</v>
      </c>
      <c r="E852" s="2">
        <v>45514</v>
      </c>
      <c r="F852" s="2">
        <v>45548</v>
      </c>
      <c r="G852" s="2">
        <v>45531</v>
      </c>
      <c r="H852" s="3">
        <v>0.3</v>
      </c>
      <c r="I852" s="4">
        <v>82000</v>
      </c>
      <c r="J852" s="4">
        <v>18300</v>
      </c>
      <c r="K852" t="s">
        <v>27</v>
      </c>
      <c r="L852" s="4">
        <f t="shared" si="39"/>
        <v>63700</v>
      </c>
      <c r="M852" t="str">
        <f t="shared" si="40"/>
        <v>Within Budget</v>
      </c>
      <c r="N852">
        <f t="shared" ca="1" si="41"/>
        <v>-17</v>
      </c>
    </row>
    <row r="853" spans="1:14" x14ac:dyDescent="0.25">
      <c r="A853" t="s">
        <v>81</v>
      </c>
      <c r="B853" t="s">
        <v>116</v>
      </c>
      <c r="C853" t="s">
        <v>22</v>
      </c>
      <c r="D853" t="s">
        <v>23</v>
      </c>
      <c r="E853" s="2">
        <v>45333</v>
      </c>
      <c r="F853" s="2">
        <v>45358</v>
      </c>
      <c r="G853" s="2">
        <v>45389</v>
      </c>
      <c r="H853" s="3">
        <v>1</v>
      </c>
      <c r="I853" s="4">
        <v>12000</v>
      </c>
      <c r="J853" s="4">
        <v>10500</v>
      </c>
      <c r="K853" t="s">
        <v>15</v>
      </c>
      <c r="L853" s="4">
        <f t="shared" si="39"/>
        <v>1500</v>
      </c>
      <c r="M853" t="str">
        <f t="shared" si="40"/>
        <v>Within Budget</v>
      </c>
      <c r="N853">
        <f t="shared" ca="1" si="41"/>
        <v>31</v>
      </c>
    </row>
    <row r="854" spans="1:14" x14ac:dyDescent="0.25">
      <c r="A854" t="s">
        <v>16</v>
      </c>
      <c r="B854" t="s">
        <v>92</v>
      </c>
      <c r="C854" t="s">
        <v>105</v>
      </c>
      <c r="D854" t="s">
        <v>36</v>
      </c>
      <c r="E854" s="2">
        <v>45808</v>
      </c>
      <c r="F854" s="2">
        <v>45822</v>
      </c>
      <c r="G854" s="2"/>
      <c r="H854" s="3">
        <v>0</v>
      </c>
      <c r="I854" s="4">
        <v>32000</v>
      </c>
      <c r="J854" s="4">
        <v>0</v>
      </c>
      <c r="K854" t="s">
        <v>48</v>
      </c>
      <c r="L854" s="4">
        <f t="shared" si="39"/>
        <v>32000</v>
      </c>
      <c r="M854" t="str">
        <f t="shared" si="40"/>
        <v>Within Budget</v>
      </c>
      <c r="N854">
        <f t="shared" ca="1" si="41"/>
        <v>464</v>
      </c>
    </row>
    <row r="855" spans="1:14" x14ac:dyDescent="0.25">
      <c r="A855" t="s">
        <v>83</v>
      </c>
      <c r="B855" t="s">
        <v>17</v>
      </c>
      <c r="C855" t="s">
        <v>106</v>
      </c>
      <c r="D855" t="s">
        <v>14</v>
      </c>
      <c r="E855" s="2">
        <v>45476</v>
      </c>
      <c r="F855" s="2">
        <v>45495</v>
      </c>
      <c r="G855" s="2">
        <v>45503</v>
      </c>
      <c r="H855" s="3">
        <v>1</v>
      </c>
      <c r="I855" s="4">
        <v>15000</v>
      </c>
      <c r="J855" s="4">
        <v>19200</v>
      </c>
      <c r="K855" t="s">
        <v>15</v>
      </c>
      <c r="L855" s="4">
        <f t="shared" si="39"/>
        <v>-4200</v>
      </c>
      <c r="M855" t="str">
        <f t="shared" si="40"/>
        <v>Over Budget</v>
      </c>
      <c r="N855">
        <f t="shared" ca="1" si="41"/>
        <v>8</v>
      </c>
    </row>
    <row r="856" spans="1:14" x14ac:dyDescent="0.25">
      <c r="A856" t="s">
        <v>68</v>
      </c>
      <c r="B856" t="s">
        <v>122</v>
      </c>
      <c r="C856" t="s">
        <v>26</v>
      </c>
      <c r="D856" t="s">
        <v>14</v>
      </c>
      <c r="E856" s="2">
        <v>45599</v>
      </c>
      <c r="F856" s="2">
        <v>45633</v>
      </c>
      <c r="G856" s="2">
        <v>45602</v>
      </c>
      <c r="H856" s="3">
        <v>0.3</v>
      </c>
      <c r="I856" s="4">
        <v>100000</v>
      </c>
      <c r="J856" s="4">
        <v>18000</v>
      </c>
      <c r="K856" t="s">
        <v>27</v>
      </c>
      <c r="L856" s="4">
        <f t="shared" si="39"/>
        <v>82000</v>
      </c>
      <c r="M856" t="str">
        <f t="shared" si="40"/>
        <v>Within Budget</v>
      </c>
      <c r="N856">
        <f t="shared" ca="1" si="41"/>
        <v>-31</v>
      </c>
    </row>
    <row r="857" spans="1:14" x14ac:dyDescent="0.25">
      <c r="A857" t="s">
        <v>79</v>
      </c>
      <c r="B857" t="s">
        <v>108</v>
      </c>
      <c r="C857" t="s">
        <v>61</v>
      </c>
      <c r="D857" t="s">
        <v>14</v>
      </c>
      <c r="E857" s="2">
        <v>45812</v>
      </c>
      <c r="F857" s="2">
        <v>45823</v>
      </c>
      <c r="G857" s="2"/>
      <c r="H857" s="3">
        <v>0</v>
      </c>
      <c r="I857" s="4">
        <v>30000</v>
      </c>
      <c r="J857" s="4">
        <v>0</v>
      </c>
      <c r="K857" t="s">
        <v>48</v>
      </c>
      <c r="L857" s="4">
        <f t="shared" si="39"/>
        <v>30000</v>
      </c>
      <c r="M857" t="str">
        <f t="shared" si="40"/>
        <v>Within Budget</v>
      </c>
      <c r="N857">
        <f t="shared" ca="1" si="41"/>
        <v>463</v>
      </c>
    </row>
    <row r="858" spans="1:14" x14ac:dyDescent="0.25">
      <c r="A858" t="s">
        <v>50</v>
      </c>
      <c r="B858" t="s">
        <v>108</v>
      </c>
      <c r="C858" t="s">
        <v>111</v>
      </c>
      <c r="D858" t="s">
        <v>23</v>
      </c>
      <c r="E858" s="2">
        <v>45568</v>
      </c>
      <c r="F858" s="2">
        <v>45580</v>
      </c>
      <c r="G858" s="2">
        <v>45572</v>
      </c>
      <c r="H858" s="3">
        <v>0.3</v>
      </c>
      <c r="I858" s="4">
        <v>10000</v>
      </c>
      <c r="J858" s="4">
        <v>900</v>
      </c>
      <c r="K858" t="s">
        <v>27</v>
      </c>
      <c r="L858" s="4">
        <f t="shared" si="39"/>
        <v>9100</v>
      </c>
      <c r="M858" t="str">
        <f t="shared" si="40"/>
        <v>Within Budget</v>
      </c>
      <c r="N858">
        <f t="shared" ca="1" si="41"/>
        <v>-8</v>
      </c>
    </row>
    <row r="859" spans="1:14" x14ac:dyDescent="0.25">
      <c r="A859" t="s">
        <v>42</v>
      </c>
      <c r="B859" t="s">
        <v>123</v>
      </c>
      <c r="C859" t="s">
        <v>39</v>
      </c>
      <c r="D859" t="s">
        <v>14</v>
      </c>
      <c r="E859" s="2">
        <v>45781</v>
      </c>
      <c r="F859" s="2">
        <v>45869</v>
      </c>
      <c r="G859" s="2"/>
      <c r="H859" s="3">
        <v>0</v>
      </c>
      <c r="I859" s="4">
        <v>103000</v>
      </c>
      <c r="J859" s="4">
        <v>0</v>
      </c>
      <c r="K859" t="s">
        <v>48</v>
      </c>
      <c r="L859" s="4">
        <f t="shared" si="39"/>
        <v>103000</v>
      </c>
      <c r="M859" t="str">
        <f t="shared" si="40"/>
        <v>Within Budget</v>
      </c>
      <c r="N859">
        <f t="shared" ca="1" si="41"/>
        <v>417</v>
      </c>
    </row>
    <row r="860" spans="1:14" x14ac:dyDescent="0.25">
      <c r="A860" t="s">
        <v>57</v>
      </c>
      <c r="B860" t="s">
        <v>85</v>
      </c>
      <c r="C860" t="s">
        <v>31</v>
      </c>
      <c r="D860" t="s">
        <v>23</v>
      </c>
      <c r="E860" s="2">
        <v>45761</v>
      </c>
      <c r="F860" s="2">
        <v>45785</v>
      </c>
      <c r="G860" s="2"/>
      <c r="H860" s="3">
        <v>0</v>
      </c>
      <c r="I860" s="4">
        <v>47000</v>
      </c>
      <c r="J860" s="4">
        <v>0</v>
      </c>
      <c r="K860" t="s">
        <v>48</v>
      </c>
      <c r="L860" s="4">
        <f t="shared" si="39"/>
        <v>47000</v>
      </c>
      <c r="M860" t="str">
        <f t="shared" si="40"/>
        <v>Within Budget</v>
      </c>
      <c r="N860">
        <f t="shared" ca="1" si="41"/>
        <v>501</v>
      </c>
    </row>
    <row r="861" spans="1:14" x14ac:dyDescent="0.25">
      <c r="A861" t="s">
        <v>120</v>
      </c>
      <c r="B861" t="s">
        <v>85</v>
      </c>
      <c r="C861" t="s">
        <v>87</v>
      </c>
      <c r="D861" t="s">
        <v>14</v>
      </c>
      <c r="E861" s="2">
        <v>45650</v>
      </c>
      <c r="F861" s="2">
        <v>45676</v>
      </c>
      <c r="G861" s="2"/>
      <c r="H861" s="3">
        <v>0.53</v>
      </c>
      <c r="I861" s="4">
        <v>18000</v>
      </c>
      <c r="J861" s="4">
        <v>20400</v>
      </c>
      <c r="K861" t="s">
        <v>19</v>
      </c>
      <c r="L861" s="4">
        <f t="shared" si="39"/>
        <v>-2400</v>
      </c>
      <c r="M861" t="str">
        <f t="shared" si="40"/>
        <v>Over Budget</v>
      </c>
      <c r="N861">
        <f t="shared" ca="1" si="41"/>
        <v>610</v>
      </c>
    </row>
    <row r="862" spans="1:14" x14ac:dyDescent="0.25">
      <c r="A862" t="s">
        <v>91</v>
      </c>
      <c r="B862" t="s">
        <v>58</v>
      </c>
      <c r="C862" t="s">
        <v>41</v>
      </c>
      <c r="D862" t="s">
        <v>14</v>
      </c>
      <c r="E862" s="2">
        <v>45460</v>
      </c>
      <c r="F862" s="2">
        <v>45477</v>
      </c>
      <c r="G862" s="2">
        <v>45465</v>
      </c>
      <c r="H862" s="3">
        <v>0.2</v>
      </c>
      <c r="I862" s="4">
        <v>48000</v>
      </c>
      <c r="J862" s="4">
        <v>16400</v>
      </c>
      <c r="K862" t="s">
        <v>27</v>
      </c>
      <c r="L862" s="4">
        <f t="shared" si="39"/>
        <v>31600</v>
      </c>
      <c r="M862" t="str">
        <f t="shared" si="40"/>
        <v>Within Budget</v>
      </c>
      <c r="N862">
        <f t="shared" ca="1" si="41"/>
        <v>-12</v>
      </c>
    </row>
    <row r="863" spans="1:14" x14ac:dyDescent="0.25">
      <c r="A863" t="s">
        <v>79</v>
      </c>
      <c r="B863" t="s">
        <v>75</v>
      </c>
      <c r="C863" t="s">
        <v>112</v>
      </c>
      <c r="D863" t="s">
        <v>23</v>
      </c>
      <c r="E863" s="2">
        <v>45536</v>
      </c>
      <c r="F863" s="2">
        <v>45544</v>
      </c>
      <c r="G863" s="2"/>
      <c r="H863" s="3">
        <v>0.6</v>
      </c>
      <c r="I863" s="4">
        <v>7000</v>
      </c>
      <c r="J863" s="4">
        <v>6200</v>
      </c>
      <c r="K863" t="s">
        <v>19</v>
      </c>
      <c r="L863" s="4">
        <f t="shared" si="39"/>
        <v>800</v>
      </c>
      <c r="M863" t="str">
        <f t="shared" si="40"/>
        <v>Within Budget</v>
      </c>
      <c r="N863">
        <f t="shared" ca="1" si="41"/>
        <v>742</v>
      </c>
    </row>
    <row r="864" spans="1:14" x14ac:dyDescent="0.25">
      <c r="A864" t="s">
        <v>103</v>
      </c>
      <c r="B864" t="s">
        <v>116</v>
      </c>
      <c r="C864" t="s">
        <v>44</v>
      </c>
      <c r="D864" t="s">
        <v>23</v>
      </c>
      <c r="E864" s="2">
        <v>45410</v>
      </c>
      <c r="F864" s="2">
        <v>45440</v>
      </c>
      <c r="G864" s="2">
        <v>45434</v>
      </c>
      <c r="H864" s="3">
        <v>1</v>
      </c>
      <c r="I864" s="4">
        <v>38000</v>
      </c>
      <c r="J864" s="4">
        <v>43400</v>
      </c>
      <c r="K864" t="s">
        <v>15</v>
      </c>
      <c r="L864" s="4">
        <f t="shared" si="39"/>
        <v>-5400</v>
      </c>
      <c r="M864" t="str">
        <f t="shared" si="40"/>
        <v>Over Budget</v>
      </c>
      <c r="N864">
        <f t="shared" ca="1" si="41"/>
        <v>-6</v>
      </c>
    </row>
    <row r="865" spans="1:14" x14ac:dyDescent="0.25">
      <c r="A865" t="s">
        <v>55</v>
      </c>
      <c r="B865" t="s">
        <v>93</v>
      </c>
      <c r="C865" t="s">
        <v>113</v>
      </c>
      <c r="D865" t="s">
        <v>36</v>
      </c>
      <c r="E865" s="2">
        <v>45418</v>
      </c>
      <c r="F865" s="2">
        <v>45450</v>
      </c>
      <c r="G865" s="2"/>
      <c r="H865" s="3">
        <v>0.57999999999999996</v>
      </c>
      <c r="I865" s="4">
        <v>73000</v>
      </c>
      <c r="J865" s="4">
        <v>57000</v>
      </c>
      <c r="K865" t="s">
        <v>19</v>
      </c>
      <c r="L865" s="4">
        <f t="shared" si="39"/>
        <v>16000</v>
      </c>
      <c r="M865" t="str">
        <f t="shared" si="40"/>
        <v>Within Budget</v>
      </c>
      <c r="N865">
        <f t="shared" ca="1" si="41"/>
        <v>836</v>
      </c>
    </row>
    <row r="866" spans="1:14" x14ac:dyDescent="0.25">
      <c r="A866" t="s">
        <v>20</v>
      </c>
      <c r="B866" t="s">
        <v>63</v>
      </c>
      <c r="C866" t="s">
        <v>112</v>
      </c>
      <c r="D866" t="s">
        <v>36</v>
      </c>
      <c r="E866" s="2">
        <v>45735</v>
      </c>
      <c r="F866" s="2">
        <v>45743</v>
      </c>
      <c r="G866" s="2"/>
      <c r="H866" s="3">
        <v>0.22</v>
      </c>
      <c r="I866" s="4">
        <v>15000</v>
      </c>
      <c r="J866" s="4">
        <v>3500</v>
      </c>
      <c r="K866" t="s">
        <v>65</v>
      </c>
      <c r="L866" s="4">
        <f t="shared" si="39"/>
        <v>11500</v>
      </c>
      <c r="M866" t="str">
        <f t="shared" si="40"/>
        <v>Within Budget</v>
      </c>
      <c r="N866">
        <f t="shared" ca="1" si="41"/>
        <v>543</v>
      </c>
    </row>
    <row r="867" spans="1:14" x14ac:dyDescent="0.25">
      <c r="A867" t="s">
        <v>24</v>
      </c>
      <c r="B867" t="s">
        <v>43</v>
      </c>
      <c r="C867" t="s">
        <v>26</v>
      </c>
      <c r="D867" t="s">
        <v>23</v>
      </c>
      <c r="E867" s="2">
        <v>45725</v>
      </c>
      <c r="F867" s="2">
        <v>45762</v>
      </c>
      <c r="G867" s="2"/>
      <c r="H867" s="3">
        <v>0</v>
      </c>
      <c r="I867" s="4">
        <v>75000</v>
      </c>
      <c r="J867" s="4">
        <v>0</v>
      </c>
      <c r="K867" t="s">
        <v>48</v>
      </c>
      <c r="L867" s="4">
        <f t="shared" si="39"/>
        <v>75000</v>
      </c>
      <c r="M867" t="str">
        <f t="shared" si="40"/>
        <v>Within Budget</v>
      </c>
      <c r="N867">
        <f t="shared" ca="1" si="41"/>
        <v>524</v>
      </c>
    </row>
    <row r="868" spans="1:14" x14ac:dyDescent="0.25">
      <c r="A868" t="s">
        <v>68</v>
      </c>
      <c r="B868" t="s">
        <v>74</v>
      </c>
      <c r="C868" t="s">
        <v>35</v>
      </c>
      <c r="D868" t="s">
        <v>23</v>
      </c>
      <c r="E868" s="2">
        <v>45386</v>
      </c>
      <c r="F868" s="2">
        <v>45421</v>
      </c>
      <c r="G868" s="2">
        <v>45423</v>
      </c>
      <c r="H868" s="3">
        <v>1</v>
      </c>
      <c r="I868" s="4">
        <v>61000</v>
      </c>
      <c r="J868" s="4">
        <v>70600</v>
      </c>
      <c r="K868" t="s">
        <v>15</v>
      </c>
      <c r="L868" s="4">
        <f t="shared" si="39"/>
        <v>-9600</v>
      </c>
      <c r="M868" t="str">
        <f t="shared" si="40"/>
        <v>Over Budget</v>
      </c>
      <c r="N868">
        <f t="shared" ca="1" si="41"/>
        <v>2</v>
      </c>
    </row>
    <row r="869" spans="1:14" x14ac:dyDescent="0.25">
      <c r="A869" t="s">
        <v>24</v>
      </c>
      <c r="B869" t="s">
        <v>43</v>
      </c>
      <c r="C869" t="s">
        <v>111</v>
      </c>
      <c r="D869" t="s">
        <v>23</v>
      </c>
      <c r="E869" s="2">
        <v>45761</v>
      </c>
      <c r="F869" s="2">
        <v>45802</v>
      </c>
      <c r="G869" s="2"/>
      <c r="H869" s="3">
        <v>0</v>
      </c>
      <c r="I869" s="4">
        <v>96000</v>
      </c>
      <c r="J869" s="4">
        <v>0</v>
      </c>
      <c r="K869" t="s">
        <v>48</v>
      </c>
      <c r="L869" s="4">
        <f t="shared" si="39"/>
        <v>96000</v>
      </c>
      <c r="M869" t="str">
        <f t="shared" si="40"/>
        <v>Within Budget</v>
      </c>
      <c r="N869">
        <f t="shared" ca="1" si="41"/>
        <v>484</v>
      </c>
    </row>
    <row r="870" spans="1:14" x14ac:dyDescent="0.25">
      <c r="A870" t="s">
        <v>77</v>
      </c>
      <c r="B870" t="s">
        <v>86</v>
      </c>
      <c r="C870" t="s">
        <v>31</v>
      </c>
      <c r="D870" t="s">
        <v>14</v>
      </c>
      <c r="E870" s="2">
        <v>45314</v>
      </c>
      <c r="F870" s="2">
        <v>45323</v>
      </c>
      <c r="G870" s="2">
        <v>45331</v>
      </c>
      <c r="H870" s="3">
        <v>1</v>
      </c>
      <c r="I870" s="4">
        <v>6000</v>
      </c>
      <c r="J870" s="4">
        <v>7900</v>
      </c>
      <c r="K870" t="s">
        <v>15</v>
      </c>
      <c r="L870" s="4">
        <f t="shared" si="39"/>
        <v>-1900</v>
      </c>
      <c r="M870" t="str">
        <f t="shared" si="40"/>
        <v>Over Budget</v>
      </c>
      <c r="N870">
        <f t="shared" ca="1" si="41"/>
        <v>8</v>
      </c>
    </row>
    <row r="871" spans="1:14" x14ac:dyDescent="0.25">
      <c r="A871" t="s">
        <v>109</v>
      </c>
      <c r="B871" t="s">
        <v>78</v>
      </c>
      <c r="C871" t="s">
        <v>47</v>
      </c>
      <c r="D871" t="s">
        <v>36</v>
      </c>
      <c r="E871" s="2">
        <v>45749</v>
      </c>
      <c r="F871" s="2">
        <v>45769</v>
      </c>
      <c r="G871" s="2"/>
      <c r="H871" s="3">
        <v>0.69</v>
      </c>
      <c r="I871" s="4">
        <v>44000</v>
      </c>
      <c r="J871" s="4">
        <v>30900</v>
      </c>
      <c r="K871" t="s">
        <v>65</v>
      </c>
      <c r="L871" s="4">
        <f t="shared" si="39"/>
        <v>13100</v>
      </c>
      <c r="M871" t="str">
        <f t="shared" si="40"/>
        <v>Within Budget</v>
      </c>
      <c r="N871">
        <f t="shared" ca="1" si="41"/>
        <v>517</v>
      </c>
    </row>
    <row r="872" spans="1:14" x14ac:dyDescent="0.25">
      <c r="A872" t="s">
        <v>68</v>
      </c>
      <c r="B872" t="s">
        <v>89</v>
      </c>
      <c r="C872" t="s">
        <v>112</v>
      </c>
      <c r="D872" t="s">
        <v>23</v>
      </c>
      <c r="E872" s="2">
        <v>45341</v>
      </c>
      <c r="F872" s="2">
        <v>45359</v>
      </c>
      <c r="G872" s="2">
        <v>45359</v>
      </c>
      <c r="H872" s="3">
        <v>1</v>
      </c>
      <c r="I872" s="4">
        <v>23000</v>
      </c>
      <c r="J872" s="4">
        <v>27400</v>
      </c>
      <c r="K872" t="s">
        <v>15</v>
      </c>
      <c r="L872" s="4">
        <f t="shared" si="39"/>
        <v>-4400</v>
      </c>
      <c r="M872" t="str">
        <f t="shared" si="40"/>
        <v>Over Budget</v>
      </c>
      <c r="N872">
        <f t="shared" ca="1" si="41"/>
        <v>0</v>
      </c>
    </row>
    <row r="873" spans="1:14" x14ac:dyDescent="0.25">
      <c r="A873" t="s">
        <v>29</v>
      </c>
      <c r="B873" t="s">
        <v>90</v>
      </c>
      <c r="C873" t="s">
        <v>111</v>
      </c>
      <c r="D873" t="s">
        <v>23</v>
      </c>
      <c r="E873" s="2">
        <v>45365</v>
      </c>
      <c r="F873" s="2">
        <v>45389</v>
      </c>
      <c r="G873" s="2">
        <v>45428</v>
      </c>
      <c r="H873" s="3">
        <v>1</v>
      </c>
      <c r="I873" s="4">
        <v>44000</v>
      </c>
      <c r="J873" s="4">
        <v>61500</v>
      </c>
      <c r="K873" t="s">
        <v>15</v>
      </c>
      <c r="L873" s="4">
        <f t="shared" si="39"/>
        <v>-17500</v>
      </c>
      <c r="M873" t="str">
        <f t="shared" si="40"/>
        <v>Over Budget</v>
      </c>
      <c r="N873">
        <f t="shared" ca="1" si="41"/>
        <v>39</v>
      </c>
    </row>
    <row r="874" spans="1:14" x14ac:dyDescent="0.25">
      <c r="A874" t="s">
        <v>107</v>
      </c>
      <c r="B874" t="s">
        <v>98</v>
      </c>
      <c r="C874" t="s">
        <v>18</v>
      </c>
      <c r="D874" t="s">
        <v>36</v>
      </c>
      <c r="E874" s="2">
        <v>45754</v>
      </c>
      <c r="F874" s="2">
        <v>45781</v>
      </c>
      <c r="G874" s="2"/>
      <c r="H874" s="3">
        <v>0</v>
      </c>
      <c r="I874" s="4">
        <v>48000</v>
      </c>
      <c r="J874" s="4">
        <v>0</v>
      </c>
      <c r="K874" t="s">
        <v>48</v>
      </c>
      <c r="L874" s="4">
        <f t="shared" si="39"/>
        <v>48000</v>
      </c>
      <c r="M874" t="str">
        <f t="shared" si="40"/>
        <v>Within Budget</v>
      </c>
      <c r="N874">
        <f t="shared" ca="1" si="41"/>
        <v>505</v>
      </c>
    </row>
    <row r="875" spans="1:14" x14ac:dyDescent="0.25">
      <c r="A875" t="s">
        <v>45</v>
      </c>
      <c r="B875" t="s">
        <v>89</v>
      </c>
      <c r="C875" t="s">
        <v>26</v>
      </c>
      <c r="D875" t="s">
        <v>23</v>
      </c>
      <c r="E875" s="2">
        <v>45625</v>
      </c>
      <c r="F875" s="2">
        <v>45632</v>
      </c>
      <c r="G875" s="2">
        <v>45634</v>
      </c>
      <c r="H875" s="3">
        <v>1</v>
      </c>
      <c r="I875" s="4">
        <v>3000</v>
      </c>
      <c r="J875" s="4">
        <v>3600</v>
      </c>
      <c r="K875" t="s">
        <v>15</v>
      </c>
      <c r="L875" s="4">
        <f t="shared" si="39"/>
        <v>-600</v>
      </c>
      <c r="M875" t="str">
        <f t="shared" si="40"/>
        <v>Over Budget</v>
      </c>
      <c r="N875">
        <f t="shared" ca="1" si="41"/>
        <v>2</v>
      </c>
    </row>
    <row r="876" spans="1:14" x14ac:dyDescent="0.25">
      <c r="A876" t="s">
        <v>24</v>
      </c>
      <c r="B876" t="s">
        <v>86</v>
      </c>
      <c r="C876" t="s">
        <v>112</v>
      </c>
      <c r="D876" t="s">
        <v>14</v>
      </c>
      <c r="E876" s="2">
        <v>45729</v>
      </c>
      <c r="F876" s="2">
        <v>45760</v>
      </c>
      <c r="G876" s="2"/>
      <c r="H876" s="3">
        <v>0</v>
      </c>
      <c r="I876" s="4">
        <v>99000</v>
      </c>
      <c r="J876" s="4">
        <v>0</v>
      </c>
      <c r="K876" t="s">
        <v>48</v>
      </c>
      <c r="L876" s="4">
        <f t="shared" si="39"/>
        <v>99000</v>
      </c>
      <c r="M876" t="str">
        <f t="shared" si="40"/>
        <v>Within Budget</v>
      </c>
      <c r="N876">
        <f t="shared" ca="1" si="41"/>
        <v>526</v>
      </c>
    </row>
    <row r="877" spans="1:14" x14ac:dyDescent="0.25">
      <c r="A877" t="s">
        <v>66</v>
      </c>
      <c r="B877" t="s">
        <v>122</v>
      </c>
      <c r="C877" t="s">
        <v>100</v>
      </c>
      <c r="D877" t="s">
        <v>36</v>
      </c>
      <c r="E877" s="2">
        <v>45628</v>
      </c>
      <c r="F877" s="2">
        <v>45655</v>
      </c>
      <c r="G877" s="2">
        <v>45647</v>
      </c>
      <c r="H877" s="3">
        <v>1</v>
      </c>
      <c r="I877" s="4">
        <v>26000</v>
      </c>
      <c r="J877" s="4">
        <v>29400</v>
      </c>
      <c r="K877" t="s">
        <v>15</v>
      </c>
      <c r="L877" s="4">
        <f t="shared" si="39"/>
        <v>-3400</v>
      </c>
      <c r="M877" t="str">
        <f t="shared" si="40"/>
        <v>Over Budget</v>
      </c>
      <c r="N877">
        <f t="shared" ca="1" si="41"/>
        <v>-8</v>
      </c>
    </row>
    <row r="878" spans="1:14" x14ac:dyDescent="0.25">
      <c r="A878" t="s">
        <v>83</v>
      </c>
      <c r="B878" t="s">
        <v>85</v>
      </c>
      <c r="C878" t="s">
        <v>113</v>
      </c>
      <c r="D878" t="s">
        <v>32</v>
      </c>
      <c r="E878" s="2">
        <v>45309</v>
      </c>
      <c r="F878" s="2">
        <v>45318</v>
      </c>
      <c r="G878" s="2"/>
      <c r="H878" s="3">
        <v>0.81</v>
      </c>
      <c r="I878" s="4">
        <v>10000</v>
      </c>
      <c r="J878" s="4">
        <v>6000</v>
      </c>
      <c r="K878" t="s">
        <v>19</v>
      </c>
      <c r="L878" s="4">
        <f t="shared" si="39"/>
        <v>4000</v>
      </c>
      <c r="M878" t="str">
        <f t="shared" si="40"/>
        <v>Within Budget</v>
      </c>
      <c r="N878">
        <f t="shared" ca="1" si="41"/>
        <v>968</v>
      </c>
    </row>
    <row r="879" spans="1:14" x14ac:dyDescent="0.25">
      <c r="A879" t="s">
        <v>72</v>
      </c>
      <c r="B879" t="s">
        <v>51</v>
      </c>
      <c r="C879" t="s">
        <v>28</v>
      </c>
      <c r="D879" t="s">
        <v>23</v>
      </c>
      <c r="E879" s="2">
        <v>45352</v>
      </c>
      <c r="F879" s="2">
        <v>45366</v>
      </c>
      <c r="G879" s="2">
        <v>45374</v>
      </c>
      <c r="H879" s="3">
        <v>1</v>
      </c>
      <c r="I879" s="4">
        <v>13000</v>
      </c>
      <c r="J879" s="4">
        <v>15900</v>
      </c>
      <c r="K879" t="s">
        <v>15</v>
      </c>
      <c r="L879" s="4">
        <f t="shared" si="39"/>
        <v>-2900</v>
      </c>
      <c r="M879" t="str">
        <f t="shared" si="40"/>
        <v>Over Budget</v>
      </c>
      <c r="N879">
        <f t="shared" ca="1" si="41"/>
        <v>8</v>
      </c>
    </row>
    <row r="880" spans="1:14" x14ac:dyDescent="0.25">
      <c r="A880" t="s">
        <v>33</v>
      </c>
      <c r="B880" t="s">
        <v>17</v>
      </c>
      <c r="C880" t="s">
        <v>47</v>
      </c>
      <c r="D880" t="s">
        <v>36</v>
      </c>
      <c r="E880" s="2">
        <v>45407</v>
      </c>
      <c r="F880" s="2">
        <v>45421</v>
      </c>
      <c r="G880" s="2">
        <v>45409</v>
      </c>
      <c r="H880" s="3">
        <v>0.25</v>
      </c>
      <c r="I880" s="4">
        <v>35000</v>
      </c>
      <c r="J880" s="4">
        <v>10100</v>
      </c>
      <c r="K880" t="s">
        <v>27</v>
      </c>
      <c r="L880" s="4">
        <f t="shared" si="39"/>
        <v>24900</v>
      </c>
      <c r="M880" t="str">
        <f t="shared" si="40"/>
        <v>Within Budget</v>
      </c>
      <c r="N880">
        <f t="shared" ca="1" si="41"/>
        <v>-12</v>
      </c>
    </row>
    <row r="881" spans="1:14" x14ac:dyDescent="0.25">
      <c r="A881" t="s">
        <v>50</v>
      </c>
      <c r="B881" t="s">
        <v>78</v>
      </c>
      <c r="C881" t="s">
        <v>47</v>
      </c>
      <c r="D881" t="s">
        <v>23</v>
      </c>
      <c r="E881" s="2">
        <v>45729</v>
      </c>
      <c r="F881" s="2">
        <v>45759</v>
      </c>
      <c r="G881" s="2"/>
      <c r="H881" s="3">
        <v>0</v>
      </c>
      <c r="I881" s="4">
        <v>28000</v>
      </c>
      <c r="J881" s="4">
        <v>0</v>
      </c>
      <c r="K881" t="s">
        <v>48</v>
      </c>
      <c r="L881" s="4">
        <f t="shared" si="39"/>
        <v>28000</v>
      </c>
      <c r="M881" t="str">
        <f t="shared" si="40"/>
        <v>Within Budget</v>
      </c>
      <c r="N881">
        <f t="shared" ca="1" si="41"/>
        <v>527</v>
      </c>
    </row>
    <row r="882" spans="1:14" x14ac:dyDescent="0.25">
      <c r="A882" t="s">
        <v>77</v>
      </c>
      <c r="B882" t="s">
        <v>122</v>
      </c>
      <c r="C882" t="s">
        <v>87</v>
      </c>
      <c r="D882" t="s">
        <v>14</v>
      </c>
      <c r="E882" s="2">
        <v>45535</v>
      </c>
      <c r="F882" s="2">
        <v>45574</v>
      </c>
      <c r="G882" s="2">
        <v>45577</v>
      </c>
      <c r="H882" s="3">
        <v>1</v>
      </c>
      <c r="I882" s="4">
        <v>94000</v>
      </c>
      <c r="J882" s="4">
        <v>86200</v>
      </c>
      <c r="K882" t="s">
        <v>15</v>
      </c>
      <c r="L882" s="4">
        <f t="shared" si="39"/>
        <v>7800</v>
      </c>
      <c r="M882" t="str">
        <f t="shared" si="40"/>
        <v>Within Budget</v>
      </c>
      <c r="N882">
        <f t="shared" ca="1" si="41"/>
        <v>3</v>
      </c>
    </row>
    <row r="883" spans="1:14" x14ac:dyDescent="0.25">
      <c r="A883" t="s">
        <v>37</v>
      </c>
      <c r="B883" t="s">
        <v>49</v>
      </c>
      <c r="C883" t="s">
        <v>52</v>
      </c>
      <c r="D883" t="s">
        <v>23</v>
      </c>
      <c r="E883" s="2">
        <v>45440</v>
      </c>
      <c r="F883" s="2">
        <v>45456</v>
      </c>
      <c r="G883" s="2">
        <v>45460</v>
      </c>
      <c r="H883" s="3">
        <v>1</v>
      </c>
      <c r="I883" s="4">
        <v>12000</v>
      </c>
      <c r="J883" s="4">
        <v>15700</v>
      </c>
      <c r="K883" t="s">
        <v>15</v>
      </c>
      <c r="L883" s="4">
        <f t="shared" si="39"/>
        <v>-3700</v>
      </c>
      <c r="M883" t="str">
        <f t="shared" si="40"/>
        <v>Over Budget</v>
      </c>
      <c r="N883">
        <f t="shared" ca="1" si="41"/>
        <v>4</v>
      </c>
    </row>
    <row r="884" spans="1:14" x14ac:dyDescent="0.25">
      <c r="A884" t="s">
        <v>42</v>
      </c>
      <c r="B884" t="s">
        <v>74</v>
      </c>
      <c r="C884" t="s">
        <v>97</v>
      </c>
      <c r="D884" t="s">
        <v>36</v>
      </c>
      <c r="E884" s="2">
        <v>45522</v>
      </c>
      <c r="F884" s="2">
        <v>45535</v>
      </c>
      <c r="G884" s="2">
        <v>45545</v>
      </c>
      <c r="H884" s="3">
        <v>1</v>
      </c>
      <c r="I884" s="4">
        <v>26000</v>
      </c>
      <c r="J884" s="4">
        <v>35100</v>
      </c>
      <c r="K884" t="s">
        <v>15</v>
      </c>
      <c r="L884" s="4">
        <f t="shared" si="39"/>
        <v>-9100</v>
      </c>
      <c r="M884" t="str">
        <f t="shared" si="40"/>
        <v>Over Budget</v>
      </c>
      <c r="N884">
        <f t="shared" ca="1" si="41"/>
        <v>10</v>
      </c>
    </row>
    <row r="885" spans="1:14" x14ac:dyDescent="0.25">
      <c r="A885" t="s">
        <v>50</v>
      </c>
      <c r="B885" t="s">
        <v>98</v>
      </c>
      <c r="C885" t="s">
        <v>60</v>
      </c>
      <c r="D885" t="s">
        <v>36</v>
      </c>
      <c r="E885" s="2">
        <v>45611</v>
      </c>
      <c r="F885" s="2">
        <v>45635</v>
      </c>
      <c r="G885" s="2">
        <v>45635</v>
      </c>
      <c r="H885" s="3">
        <v>1</v>
      </c>
      <c r="I885" s="4">
        <v>36000</v>
      </c>
      <c r="J885" s="4">
        <v>32900</v>
      </c>
      <c r="K885" t="s">
        <v>15</v>
      </c>
      <c r="L885" s="4">
        <f t="shared" si="39"/>
        <v>3100</v>
      </c>
      <c r="M885" t="str">
        <f t="shared" si="40"/>
        <v>Within Budget</v>
      </c>
      <c r="N885">
        <f t="shared" ca="1" si="41"/>
        <v>0</v>
      </c>
    </row>
    <row r="886" spans="1:14" x14ac:dyDescent="0.25">
      <c r="A886" t="s">
        <v>79</v>
      </c>
      <c r="B886" t="s">
        <v>64</v>
      </c>
      <c r="C886" t="s">
        <v>52</v>
      </c>
      <c r="D886" t="s">
        <v>23</v>
      </c>
      <c r="E886" s="2">
        <v>45679</v>
      </c>
      <c r="F886" s="2">
        <v>45709</v>
      </c>
      <c r="G886" s="2"/>
      <c r="H886" s="3">
        <v>0.85</v>
      </c>
      <c r="I886" s="4">
        <v>35000</v>
      </c>
      <c r="J886" s="4">
        <v>33700</v>
      </c>
      <c r="K886" t="s">
        <v>65</v>
      </c>
      <c r="L886" s="4">
        <f t="shared" si="39"/>
        <v>1300</v>
      </c>
      <c r="M886" t="str">
        <f t="shared" si="40"/>
        <v>Within Budget</v>
      </c>
      <c r="N886">
        <f t="shared" ca="1" si="41"/>
        <v>577</v>
      </c>
    </row>
    <row r="887" spans="1:14" x14ac:dyDescent="0.25">
      <c r="A887" t="s">
        <v>99</v>
      </c>
      <c r="B887" t="s">
        <v>95</v>
      </c>
      <c r="C887" t="s">
        <v>112</v>
      </c>
      <c r="D887" t="s">
        <v>36</v>
      </c>
      <c r="E887" s="2">
        <v>45704</v>
      </c>
      <c r="F887" s="2">
        <v>45725</v>
      </c>
      <c r="G887" s="2">
        <v>45726</v>
      </c>
      <c r="H887" s="3">
        <v>1</v>
      </c>
      <c r="I887" s="4">
        <v>11000</v>
      </c>
      <c r="J887" s="4">
        <v>10400</v>
      </c>
      <c r="K887" t="s">
        <v>15</v>
      </c>
      <c r="L887" s="4">
        <f t="shared" si="39"/>
        <v>600</v>
      </c>
      <c r="M887" t="str">
        <f t="shared" si="40"/>
        <v>Within Budget</v>
      </c>
      <c r="N887">
        <f t="shared" ca="1" si="41"/>
        <v>1</v>
      </c>
    </row>
    <row r="888" spans="1:14" x14ac:dyDescent="0.25">
      <c r="A888" t="s">
        <v>72</v>
      </c>
      <c r="B888" t="s">
        <v>85</v>
      </c>
      <c r="C888" t="s">
        <v>35</v>
      </c>
      <c r="D888" t="s">
        <v>14</v>
      </c>
      <c r="E888" s="2">
        <v>45783</v>
      </c>
      <c r="F888" s="2">
        <v>45809</v>
      </c>
      <c r="G888" s="2"/>
      <c r="H888" s="3">
        <v>0</v>
      </c>
      <c r="I888" s="4">
        <v>44000</v>
      </c>
      <c r="J888" s="4">
        <v>0</v>
      </c>
      <c r="K888" t="s">
        <v>48</v>
      </c>
      <c r="L888" s="4">
        <f t="shared" si="39"/>
        <v>44000</v>
      </c>
      <c r="M888" t="str">
        <f t="shared" si="40"/>
        <v>Within Budget</v>
      </c>
      <c r="N888">
        <f t="shared" ca="1" si="41"/>
        <v>477</v>
      </c>
    </row>
    <row r="889" spans="1:14" x14ac:dyDescent="0.25">
      <c r="A889" t="s">
        <v>24</v>
      </c>
      <c r="B889" t="s">
        <v>84</v>
      </c>
      <c r="C889" t="s">
        <v>28</v>
      </c>
      <c r="D889" t="s">
        <v>14</v>
      </c>
      <c r="E889" s="2">
        <v>45749</v>
      </c>
      <c r="F889" s="2">
        <v>45771</v>
      </c>
      <c r="G889" s="2"/>
      <c r="H889" s="3">
        <v>0</v>
      </c>
      <c r="I889" s="4">
        <v>10000</v>
      </c>
      <c r="J889" s="4">
        <v>0</v>
      </c>
      <c r="K889" t="s">
        <v>48</v>
      </c>
      <c r="L889" s="4">
        <f t="shared" si="39"/>
        <v>10000</v>
      </c>
      <c r="M889" t="str">
        <f t="shared" si="40"/>
        <v>Within Budget</v>
      </c>
      <c r="N889">
        <f t="shared" ca="1" si="41"/>
        <v>515</v>
      </c>
    </row>
    <row r="890" spans="1:14" x14ac:dyDescent="0.25">
      <c r="A890" t="s">
        <v>42</v>
      </c>
      <c r="B890" t="s">
        <v>119</v>
      </c>
      <c r="C890" t="s">
        <v>67</v>
      </c>
      <c r="D890" t="s">
        <v>32</v>
      </c>
      <c r="E890" s="2">
        <v>45394</v>
      </c>
      <c r="F890" s="2">
        <v>45421</v>
      </c>
      <c r="G890" s="2">
        <v>45421</v>
      </c>
      <c r="H890" s="3">
        <v>1</v>
      </c>
      <c r="I890" s="4">
        <v>38000</v>
      </c>
      <c r="J890" s="4">
        <v>42800</v>
      </c>
      <c r="K890" t="s">
        <v>15</v>
      </c>
      <c r="L890" s="4">
        <f t="shared" si="39"/>
        <v>-4800</v>
      </c>
      <c r="M890" t="str">
        <f t="shared" si="40"/>
        <v>Over Budget</v>
      </c>
      <c r="N890">
        <f t="shared" ca="1" si="41"/>
        <v>0</v>
      </c>
    </row>
    <row r="891" spans="1:14" x14ac:dyDescent="0.25">
      <c r="A891" t="s">
        <v>16</v>
      </c>
      <c r="B891" t="s">
        <v>114</v>
      </c>
      <c r="C891" t="s">
        <v>28</v>
      </c>
      <c r="D891" t="s">
        <v>14</v>
      </c>
      <c r="E891" s="2">
        <v>45562</v>
      </c>
      <c r="F891" s="2">
        <v>45570</v>
      </c>
      <c r="G891" s="2"/>
      <c r="H891" s="3">
        <v>0.43</v>
      </c>
      <c r="I891" s="4">
        <v>13000</v>
      </c>
      <c r="J891" s="4">
        <v>15000</v>
      </c>
      <c r="K891" t="s">
        <v>19</v>
      </c>
      <c r="L891" s="4">
        <f t="shared" si="39"/>
        <v>-2000</v>
      </c>
      <c r="M891" t="str">
        <f t="shared" si="40"/>
        <v>Over Budget</v>
      </c>
      <c r="N891">
        <f t="shared" ca="1" si="41"/>
        <v>716</v>
      </c>
    </row>
    <row r="892" spans="1:14" x14ac:dyDescent="0.25">
      <c r="A892" t="s">
        <v>107</v>
      </c>
      <c r="B892" t="s">
        <v>59</v>
      </c>
      <c r="C892" t="s">
        <v>106</v>
      </c>
      <c r="D892" t="s">
        <v>14</v>
      </c>
      <c r="E892" s="2">
        <v>45373</v>
      </c>
      <c r="F892" s="2">
        <v>45402</v>
      </c>
      <c r="G892" s="2">
        <v>45405</v>
      </c>
      <c r="H892" s="3">
        <v>1</v>
      </c>
      <c r="I892" s="4">
        <v>48000</v>
      </c>
      <c r="J892" s="4">
        <v>41600</v>
      </c>
      <c r="K892" t="s">
        <v>15</v>
      </c>
      <c r="L892" s="4">
        <f t="shared" si="39"/>
        <v>6400</v>
      </c>
      <c r="M892" t="str">
        <f t="shared" si="40"/>
        <v>Within Budget</v>
      </c>
      <c r="N892">
        <f t="shared" ca="1" si="41"/>
        <v>3</v>
      </c>
    </row>
    <row r="893" spans="1:14" x14ac:dyDescent="0.25">
      <c r="A893" t="s">
        <v>29</v>
      </c>
      <c r="B893" t="s">
        <v>96</v>
      </c>
      <c r="C893" t="s">
        <v>60</v>
      </c>
      <c r="D893" t="s">
        <v>36</v>
      </c>
      <c r="E893" s="2">
        <v>45435</v>
      </c>
      <c r="F893" s="2">
        <v>45466</v>
      </c>
      <c r="G893" s="2">
        <v>45510</v>
      </c>
      <c r="H893" s="3">
        <v>1</v>
      </c>
      <c r="I893" s="4">
        <v>51000</v>
      </c>
      <c r="J893" s="4">
        <v>67000</v>
      </c>
      <c r="K893" t="s">
        <v>15</v>
      </c>
      <c r="L893" s="4">
        <f t="shared" si="39"/>
        <v>-16000</v>
      </c>
      <c r="M893" t="str">
        <f t="shared" si="40"/>
        <v>Over Budget</v>
      </c>
      <c r="N893">
        <f t="shared" ca="1" si="41"/>
        <v>44</v>
      </c>
    </row>
    <row r="894" spans="1:14" x14ac:dyDescent="0.25">
      <c r="A894" t="s">
        <v>121</v>
      </c>
      <c r="B894" t="s">
        <v>70</v>
      </c>
      <c r="C894" t="s">
        <v>113</v>
      </c>
      <c r="D894" t="s">
        <v>32</v>
      </c>
      <c r="E894" s="2">
        <v>45313</v>
      </c>
      <c r="F894" s="2">
        <v>45325</v>
      </c>
      <c r="G894" s="2">
        <v>45350</v>
      </c>
      <c r="H894" s="3">
        <v>1</v>
      </c>
      <c r="I894" s="4">
        <v>12000</v>
      </c>
      <c r="J894" s="4">
        <v>11600</v>
      </c>
      <c r="K894" t="s">
        <v>15</v>
      </c>
      <c r="L894" s="4">
        <f t="shared" si="39"/>
        <v>400</v>
      </c>
      <c r="M894" t="str">
        <f t="shared" si="40"/>
        <v>Within Budget</v>
      </c>
      <c r="N894">
        <f t="shared" ca="1" si="41"/>
        <v>25</v>
      </c>
    </row>
    <row r="895" spans="1:14" x14ac:dyDescent="0.25">
      <c r="A895" t="s">
        <v>79</v>
      </c>
      <c r="B895" t="s">
        <v>17</v>
      </c>
      <c r="C895" t="s">
        <v>87</v>
      </c>
      <c r="D895" t="s">
        <v>14</v>
      </c>
      <c r="E895" s="2">
        <v>45403</v>
      </c>
      <c r="F895" s="2">
        <v>45434</v>
      </c>
      <c r="G895" s="2">
        <v>45434</v>
      </c>
      <c r="H895" s="3">
        <v>1</v>
      </c>
      <c r="I895" s="4">
        <v>51000</v>
      </c>
      <c r="J895" s="4">
        <v>61800</v>
      </c>
      <c r="K895" t="s">
        <v>15</v>
      </c>
      <c r="L895" s="4">
        <f t="shared" si="39"/>
        <v>-10800</v>
      </c>
      <c r="M895" t="str">
        <f t="shared" si="40"/>
        <v>Over Budget</v>
      </c>
      <c r="N895">
        <f t="shared" ca="1" si="41"/>
        <v>0</v>
      </c>
    </row>
    <row r="896" spans="1:14" x14ac:dyDescent="0.25">
      <c r="A896" t="s">
        <v>45</v>
      </c>
      <c r="B896" t="s">
        <v>17</v>
      </c>
      <c r="C896" t="s">
        <v>67</v>
      </c>
      <c r="D896" t="s">
        <v>32</v>
      </c>
      <c r="E896" s="2">
        <v>45825</v>
      </c>
      <c r="F896" s="2">
        <v>45849</v>
      </c>
      <c r="G896" s="2"/>
      <c r="H896" s="3">
        <v>0</v>
      </c>
      <c r="I896" s="4">
        <v>16000</v>
      </c>
      <c r="J896" s="4">
        <v>0</v>
      </c>
      <c r="K896" t="s">
        <v>48</v>
      </c>
      <c r="L896" s="4">
        <f t="shared" si="39"/>
        <v>16000</v>
      </c>
      <c r="M896" t="str">
        <f t="shared" si="40"/>
        <v>Within Budget</v>
      </c>
      <c r="N896">
        <f t="shared" ca="1" si="41"/>
        <v>437</v>
      </c>
    </row>
    <row r="897" spans="1:14" x14ac:dyDescent="0.25">
      <c r="A897" t="s">
        <v>109</v>
      </c>
      <c r="B897" t="s">
        <v>70</v>
      </c>
      <c r="C897" t="s">
        <v>22</v>
      </c>
      <c r="D897" t="s">
        <v>36</v>
      </c>
      <c r="E897" s="2">
        <v>45724</v>
      </c>
      <c r="F897" s="2">
        <v>45734</v>
      </c>
      <c r="G897" s="2"/>
      <c r="H897" s="3">
        <v>0.67</v>
      </c>
      <c r="I897" s="4">
        <v>11000</v>
      </c>
      <c r="J897" s="4">
        <v>12900</v>
      </c>
      <c r="K897" t="s">
        <v>19</v>
      </c>
      <c r="L897" s="4">
        <f t="shared" si="39"/>
        <v>-1900</v>
      </c>
      <c r="M897" t="str">
        <f t="shared" si="40"/>
        <v>Over Budget</v>
      </c>
      <c r="N897">
        <f t="shared" ca="1" si="41"/>
        <v>552</v>
      </c>
    </row>
    <row r="898" spans="1:14" x14ac:dyDescent="0.25">
      <c r="A898" t="s">
        <v>24</v>
      </c>
      <c r="B898" t="s">
        <v>73</v>
      </c>
      <c r="C898" t="s">
        <v>100</v>
      </c>
      <c r="D898" t="s">
        <v>14</v>
      </c>
      <c r="E898" s="2">
        <v>45397</v>
      </c>
      <c r="F898" s="2">
        <v>45464</v>
      </c>
      <c r="G898" s="2"/>
      <c r="H898" s="3">
        <v>0.42</v>
      </c>
      <c r="I898" s="4">
        <v>169000</v>
      </c>
      <c r="J898" s="4">
        <v>196900</v>
      </c>
      <c r="K898" t="s">
        <v>19</v>
      </c>
      <c r="L898" s="4">
        <f t="shared" si="39"/>
        <v>-27900</v>
      </c>
      <c r="M898" t="str">
        <f t="shared" si="40"/>
        <v>Over Budget</v>
      </c>
      <c r="N898">
        <f t="shared" ca="1" si="41"/>
        <v>822</v>
      </c>
    </row>
    <row r="899" spans="1:14" x14ac:dyDescent="0.25">
      <c r="A899" t="s">
        <v>104</v>
      </c>
      <c r="B899" t="s">
        <v>73</v>
      </c>
      <c r="C899" t="s">
        <v>60</v>
      </c>
      <c r="D899" t="s">
        <v>36</v>
      </c>
      <c r="E899" s="2">
        <v>45719</v>
      </c>
      <c r="F899" s="2">
        <v>45755</v>
      </c>
      <c r="G899" s="2"/>
      <c r="H899" s="3">
        <v>0.68</v>
      </c>
      <c r="I899" s="4">
        <v>73000</v>
      </c>
      <c r="J899" s="4">
        <v>81300</v>
      </c>
      <c r="K899" t="s">
        <v>19</v>
      </c>
      <c r="L899" s="4">
        <f t="shared" ref="L899:L962" si="42">I899-J899</f>
        <v>-8300</v>
      </c>
      <c r="M899" t="str">
        <f t="shared" ref="M899:M962" si="43">IF(L899&lt;0, "Over Budget", "Within Budget")</f>
        <v>Over Budget</v>
      </c>
      <c r="N899">
        <f t="shared" ref="N899:N962" ca="1" si="44">IF(G899="",TODAY()-F899,G899-F899)</f>
        <v>531</v>
      </c>
    </row>
    <row r="900" spans="1:14" x14ac:dyDescent="0.25">
      <c r="A900" t="s">
        <v>29</v>
      </c>
      <c r="B900" t="s">
        <v>73</v>
      </c>
      <c r="C900" t="s">
        <v>71</v>
      </c>
      <c r="D900" t="s">
        <v>23</v>
      </c>
      <c r="E900" s="2">
        <v>45481</v>
      </c>
      <c r="F900" s="2">
        <v>45571</v>
      </c>
      <c r="G900" s="2">
        <v>45574</v>
      </c>
      <c r="H900" s="3">
        <v>1</v>
      </c>
      <c r="I900" s="4">
        <v>80000</v>
      </c>
      <c r="J900" s="4">
        <v>87800</v>
      </c>
      <c r="K900" t="s">
        <v>15</v>
      </c>
      <c r="L900" s="4">
        <f t="shared" si="42"/>
        <v>-7800</v>
      </c>
      <c r="M900" t="str">
        <f t="shared" si="43"/>
        <v>Over Budget</v>
      </c>
      <c r="N900">
        <f t="shared" ca="1" si="44"/>
        <v>3</v>
      </c>
    </row>
    <row r="901" spans="1:14" x14ac:dyDescent="0.25">
      <c r="A901" t="s">
        <v>99</v>
      </c>
      <c r="B901" t="s">
        <v>59</v>
      </c>
      <c r="C901" t="s">
        <v>35</v>
      </c>
      <c r="D901" t="s">
        <v>23</v>
      </c>
      <c r="E901" s="2">
        <v>45617</v>
      </c>
      <c r="F901" s="2">
        <v>45631</v>
      </c>
      <c r="G901" s="2">
        <v>45619</v>
      </c>
      <c r="H901" s="3">
        <v>0.3</v>
      </c>
      <c r="I901" s="4">
        <v>18000</v>
      </c>
      <c r="J901" s="4">
        <v>2700</v>
      </c>
      <c r="K901" t="s">
        <v>27</v>
      </c>
      <c r="L901" s="4">
        <f t="shared" si="42"/>
        <v>15300</v>
      </c>
      <c r="M901" t="str">
        <f t="shared" si="43"/>
        <v>Within Budget</v>
      </c>
      <c r="N901">
        <f t="shared" ca="1" si="44"/>
        <v>-12</v>
      </c>
    </row>
    <row r="902" spans="1:14" x14ac:dyDescent="0.25">
      <c r="A902" t="s">
        <v>99</v>
      </c>
      <c r="B902" t="s">
        <v>56</v>
      </c>
      <c r="C902" t="s">
        <v>105</v>
      </c>
      <c r="D902" t="s">
        <v>14</v>
      </c>
      <c r="E902" s="2">
        <v>45351</v>
      </c>
      <c r="F902" s="2">
        <v>45381</v>
      </c>
      <c r="G902" s="2">
        <v>45412</v>
      </c>
      <c r="H902" s="3">
        <v>1</v>
      </c>
      <c r="I902" s="4">
        <v>39000</v>
      </c>
      <c r="J902" s="4">
        <v>33400</v>
      </c>
      <c r="K902" t="s">
        <v>15</v>
      </c>
      <c r="L902" s="4">
        <f t="shared" si="42"/>
        <v>5600</v>
      </c>
      <c r="M902" t="str">
        <f t="shared" si="43"/>
        <v>Within Budget</v>
      </c>
      <c r="N902">
        <f t="shared" ca="1" si="44"/>
        <v>31</v>
      </c>
    </row>
    <row r="903" spans="1:14" x14ac:dyDescent="0.25">
      <c r="A903" t="s">
        <v>118</v>
      </c>
      <c r="B903" t="s">
        <v>98</v>
      </c>
      <c r="C903" t="s">
        <v>52</v>
      </c>
      <c r="D903" t="s">
        <v>23</v>
      </c>
      <c r="E903" s="2">
        <v>45365</v>
      </c>
      <c r="F903" s="2">
        <v>45390</v>
      </c>
      <c r="G903" s="2">
        <v>45404</v>
      </c>
      <c r="H903" s="3">
        <v>1</v>
      </c>
      <c r="I903" s="4">
        <v>50000</v>
      </c>
      <c r="J903" s="4">
        <v>44400</v>
      </c>
      <c r="K903" t="s">
        <v>15</v>
      </c>
      <c r="L903" s="4">
        <f t="shared" si="42"/>
        <v>5600</v>
      </c>
      <c r="M903" t="str">
        <f t="shared" si="43"/>
        <v>Within Budget</v>
      </c>
      <c r="N903">
        <f t="shared" ca="1" si="44"/>
        <v>14</v>
      </c>
    </row>
    <row r="904" spans="1:14" x14ac:dyDescent="0.25">
      <c r="A904" t="s">
        <v>103</v>
      </c>
      <c r="B904" t="s">
        <v>124</v>
      </c>
      <c r="C904" t="s">
        <v>31</v>
      </c>
      <c r="D904" t="s">
        <v>23</v>
      </c>
      <c r="E904" s="2">
        <v>45544</v>
      </c>
      <c r="F904" s="2">
        <v>45573</v>
      </c>
      <c r="G904" s="2">
        <v>45568</v>
      </c>
      <c r="H904" s="3">
        <v>1</v>
      </c>
      <c r="I904" s="4">
        <v>46000</v>
      </c>
      <c r="J904" s="4">
        <v>40600</v>
      </c>
      <c r="K904" t="s">
        <v>15</v>
      </c>
      <c r="L904" s="4">
        <f t="shared" si="42"/>
        <v>5400</v>
      </c>
      <c r="M904" t="str">
        <f t="shared" si="43"/>
        <v>Within Budget</v>
      </c>
      <c r="N904">
        <f t="shared" ca="1" si="44"/>
        <v>-5</v>
      </c>
    </row>
    <row r="905" spans="1:14" x14ac:dyDescent="0.25">
      <c r="A905" t="s">
        <v>83</v>
      </c>
      <c r="B905" t="s">
        <v>96</v>
      </c>
      <c r="C905" t="s">
        <v>28</v>
      </c>
      <c r="D905" t="s">
        <v>23</v>
      </c>
      <c r="E905" s="2">
        <v>45576</v>
      </c>
      <c r="F905" s="2">
        <v>45599</v>
      </c>
      <c r="G905" s="2">
        <v>45622</v>
      </c>
      <c r="H905" s="3">
        <v>1</v>
      </c>
      <c r="I905" s="4">
        <v>24000</v>
      </c>
      <c r="J905" s="4">
        <v>27500</v>
      </c>
      <c r="K905" t="s">
        <v>15</v>
      </c>
      <c r="L905" s="4">
        <f t="shared" si="42"/>
        <v>-3500</v>
      </c>
      <c r="M905" t="str">
        <f t="shared" si="43"/>
        <v>Over Budget</v>
      </c>
      <c r="N905">
        <f t="shared" ca="1" si="44"/>
        <v>23</v>
      </c>
    </row>
    <row r="906" spans="1:14" x14ac:dyDescent="0.25">
      <c r="A906" t="s">
        <v>57</v>
      </c>
      <c r="B906" t="s">
        <v>69</v>
      </c>
      <c r="C906" t="s">
        <v>113</v>
      </c>
      <c r="D906" t="s">
        <v>36</v>
      </c>
      <c r="E906" s="2">
        <v>45297</v>
      </c>
      <c r="F906" s="2">
        <v>45332</v>
      </c>
      <c r="G906" s="2">
        <v>45377</v>
      </c>
      <c r="H906" s="3">
        <v>1</v>
      </c>
      <c r="I906" s="4">
        <v>76000</v>
      </c>
      <c r="J906" s="4">
        <v>65500</v>
      </c>
      <c r="K906" t="s">
        <v>15</v>
      </c>
      <c r="L906" s="4">
        <f t="shared" si="42"/>
        <v>10500</v>
      </c>
      <c r="M906" t="str">
        <f t="shared" si="43"/>
        <v>Within Budget</v>
      </c>
      <c r="N906">
        <f t="shared" ca="1" si="44"/>
        <v>45</v>
      </c>
    </row>
    <row r="907" spans="1:14" x14ac:dyDescent="0.25">
      <c r="A907" t="s">
        <v>37</v>
      </c>
      <c r="B907" t="s">
        <v>74</v>
      </c>
      <c r="C907" t="s">
        <v>18</v>
      </c>
      <c r="D907" t="s">
        <v>14</v>
      </c>
      <c r="E907" s="2">
        <v>45505</v>
      </c>
      <c r="F907" s="2">
        <v>45527</v>
      </c>
      <c r="G907" s="2">
        <v>45527</v>
      </c>
      <c r="H907" s="3">
        <v>1</v>
      </c>
      <c r="I907" s="4">
        <v>25000</v>
      </c>
      <c r="J907" s="4">
        <v>24500</v>
      </c>
      <c r="K907" t="s">
        <v>15</v>
      </c>
      <c r="L907" s="4">
        <f t="shared" si="42"/>
        <v>500</v>
      </c>
      <c r="M907" t="str">
        <f t="shared" si="43"/>
        <v>Within Budget</v>
      </c>
      <c r="N907">
        <f t="shared" ca="1" si="44"/>
        <v>0</v>
      </c>
    </row>
    <row r="908" spans="1:14" x14ac:dyDescent="0.25">
      <c r="A908" t="s">
        <v>81</v>
      </c>
      <c r="B908" t="s">
        <v>90</v>
      </c>
      <c r="C908" t="s">
        <v>39</v>
      </c>
      <c r="D908" t="s">
        <v>14</v>
      </c>
      <c r="E908" s="2">
        <v>45464</v>
      </c>
      <c r="F908" s="2">
        <v>45508</v>
      </c>
      <c r="G908" s="2">
        <v>45552</v>
      </c>
      <c r="H908" s="3">
        <v>1</v>
      </c>
      <c r="I908" s="4">
        <v>40000</v>
      </c>
      <c r="J908" s="4">
        <v>50200</v>
      </c>
      <c r="K908" t="s">
        <v>15</v>
      </c>
      <c r="L908" s="4">
        <f t="shared" si="42"/>
        <v>-10200</v>
      </c>
      <c r="M908" t="str">
        <f t="shared" si="43"/>
        <v>Over Budget</v>
      </c>
      <c r="N908">
        <f t="shared" ca="1" si="44"/>
        <v>44</v>
      </c>
    </row>
    <row r="909" spans="1:14" x14ac:dyDescent="0.25">
      <c r="A909" t="s">
        <v>11</v>
      </c>
      <c r="B909" t="s">
        <v>78</v>
      </c>
      <c r="C909" t="s">
        <v>113</v>
      </c>
      <c r="D909" t="s">
        <v>23</v>
      </c>
      <c r="E909" s="2">
        <v>45682</v>
      </c>
      <c r="F909" s="2">
        <v>45694</v>
      </c>
      <c r="G909" s="2"/>
      <c r="H909" s="3">
        <v>0.77</v>
      </c>
      <c r="I909" s="4">
        <v>50000</v>
      </c>
      <c r="J909" s="4">
        <v>39200</v>
      </c>
      <c r="K909" t="s">
        <v>19</v>
      </c>
      <c r="L909" s="4">
        <f t="shared" si="42"/>
        <v>10800</v>
      </c>
      <c r="M909" t="str">
        <f t="shared" si="43"/>
        <v>Within Budget</v>
      </c>
      <c r="N909">
        <f t="shared" ca="1" si="44"/>
        <v>592</v>
      </c>
    </row>
    <row r="910" spans="1:14" x14ac:dyDescent="0.25">
      <c r="A910" t="s">
        <v>103</v>
      </c>
      <c r="B910" t="s">
        <v>70</v>
      </c>
      <c r="C910" t="s">
        <v>67</v>
      </c>
      <c r="D910" t="s">
        <v>14</v>
      </c>
      <c r="E910" s="2">
        <v>45653</v>
      </c>
      <c r="F910" s="2">
        <v>45663</v>
      </c>
      <c r="G910" s="2"/>
      <c r="H910" s="3">
        <v>0.43</v>
      </c>
      <c r="I910" s="4">
        <v>6000</v>
      </c>
      <c r="J910" s="4">
        <v>6300</v>
      </c>
      <c r="K910" t="s">
        <v>19</v>
      </c>
      <c r="L910" s="4">
        <f t="shared" si="42"/>
        <v>-300</v>
      </c>
      <c r="M910" t="str">
        <f t="shared" si="43"/>
        <v>Over Budget</v>
      </c>
      <c r="N910">
        <f t="shared" ca="1" si="44"/>
        <v>623</v>
      </c>
    </row>
    <row r="911" spans="1:14" x14ac:dyDescent="0.25">
      <c r="A911" t="s">
        <v>77</v>
      </c>
      <c r="B911" t="s">
        <v>78</v>
      </c>
      <c r="C911" t="s">
        <v>13</v>
      </c>
      <c r="D911" t="s">
        <v>14</v>
      </c>
      <c r="E911" s="2">
        <v>45507</v>
      </c>
      <c r="F911" s="2">
        <v>45520</v>
      </c>
      <c r="G911" s="2">
        <v>45513</v>
      </c>
      <c r="H911" s="3">
        <v>0</v>
      </c>
      <c r="I911" s="4">
        <v>21000</v>
      </c>
      <c r="J911" s="4">
        <v>2700</v>
      </c>
      <c r="K911" t="s">
        <v>27</v>
      </c>
      <c r="L911" s="4">
        <f t="shared" si="42"/>
        <v>18300</v>
      </c>
      <c r="M911" t="str">
        <f t="shared" si="43"/>
        <v>Within Budget</v>
      </c>
      <c r="N911">
        <f t="shared" ca="1" si="44"/>
        <v>-7</v>
      </c>
    </row>
    <row r="912" spans="1:14" x14ac:dyDescent="0.25">
      <c r="A912" t="s">
        <v>81</v>
      </c>
      <c r="B912" t="s">
        <v>93</v>
      </c>
      <c r="C912" t="s">
        <v>22</v>
      </c>
      <c r="D912" t="s">
        <v>23</v>
      </c>
      <c r="E912" s="2">
        <v>45478</v>
      </c>
      <c r="F912" s="2">
        <v>45503</v>
      </c>
      <c r="G912" s="2">
        <v>45506</v>
      </c>
      <c r="H912" s="3">
        <v>1</v>
      </c>
      <c r="I912" s="4">
        <v>48000</v>
      </c>
      <c r="J912" s="4">
        <v>57800</v>
      </c>
      <c r="K912" t="s">
        <v>15</v>
      </c>
      <c r="L912" s="4">
        <f t="shared" si="42"/>
        <v>-9800</v>
      </c>
      <c r="M912" t="str">
        <f t="shared" si="43"/>
        <v>Over Budget</v>
      </c>
      <c r="N912">
        <f t="shared" ca="1" si="44"/>
        <v>3</v>
      </c>
    </row>
    <row r="913" spans="1:14" x14ac:dyDescent="0.25">
      <c r="A913" t="s">
        <v>72</v>
      </c>
      <c r="B913" t="s">
        <v>12</v>
      </c>
      <c r="C913" t="s">
        <v>26</v>
      </c>
      <c r="D913" t="s">
        <v>14</v>
      </c>
      <c r="E913" s="2">
        <v>45657</v>
      </c>
      <c r="F913" s="2">
        <v>45685</v>
      </c>
      <c r="G913" s="2"/>
      <c r="H913" s="3">
        <v>0.2</v>
      </c>
      <c r="I913" s="4">
        <v>23000</v>
      </c>
      <c r="J913" s="4">
        <v>21800</v>
      </c>
      <c r="K913" t="s">
        <v>19</v>
      </c>
      <c r="L913" s="4">
        <f t="shared" si="42"/>
        <v>1200</v>
      </c>
      <c r="M913" t="str">
        <f t="shared" si="43"/>
        <v>Within Budget</v>
      </c>
      <c r="N913">
        <f t="shared" ca="1" si="44"/>
        <v>601</v>
      </c>
    </row>
    <row r="914" spans="1:14" x14ac:dyDescent="0.25">
      <c r="A914" t="s">
        <v>79</v>
      </c>
      <c r="B914" t="s">
        <v>56</v>
      </c>
      <c r="C914" t="s">
        <v>97</v>
      </c>
      <c r="D914" t="s">
        <v>14</v>
      </c>
      <c r="E914" s="2">
        <v>45465</v>
      </c>
      <c r="F914" s="2">
        <v>45500</v>
      </c>
      <c r="G914" s="2"/>
      <c r="H914" s="3">
        <v>0.85</v>
      </c>
      <c r="I914" s="4">
        <v>100000</v>
      </c>
      <c r="J914" s="4">
        <v>91500</v>
      </c>
      <c r="K914" t="s">
        <v>19</v>
      </c>
      <c r="L914" s="4">
        <f t="shared" si="42"/>
        <v>8500</v>
      </c>
      <c r="M914" t="str">
        <f t="shared" si="43"/>
        <v>Within Budget</v>
      </c>
      <c r="N914">
        <f t="shared" ca="1" si="44"/>
        <v>786</v>
      </c>
    </row>
    <row r="915" spans="1:14" x14ac:dyDescent="0.25">
      <c r="A915" t="s">
        <v>37</v>
      </c>
      <c r="B915" t="s">
        <v>56</v>
      </c>
      <c r="C915" t="s">
        <v>60</v>
      </c>
      <c r="D915" t="s">
        <v>14</v>
      </c>
      <c r="E915" s="2">
        <v>45427</v>
      </c>
      <c r="F915" s="2">
        <v>45442</v>
      </c>
      <c r="G915" s="2">
        <v>45443</v>
      </c>
      <c r="H915" s="3">
        <v>1</v>
      </c>
      <c r="I915" s="4">
        <v>40000</v>
      </c>
      <c r="J915" s="4">
        <v>51500</v>
      </c>
      <c r="K915" t="s">
        <v>15</v>
      </c>
      <c r="L915" s="4">
        <f t="shared" si="42"/>
        <v>-11500</v>
      </c>
      <c r="M915" t="str">
        <f t="shared" si="43"/>
        <v>Over Budget</v>
      </c>
      <c r="N915">
        <f t="shared" ca="1" si="44"/>
        <v>1</v>
      </c>
    </row>
    <row r="916" spans="1:14" x14ac:dyDescent="0.25">
      <c r="A916" t="s">
        <v>99</v>
      </c>
      <c r="B916" t="s">
        <v>12</v>
      </c>
      <c r="C916" t="s">
        <v>47</v>
      </c>
      <c r="D916" t="s">
        <v>14</v>
      </c>
      <c r="E916" s="2">
        <v>45543</v>
      </c>
      <c r="F916" s="2">
        <v>45553</v>
      </c>
      <c r="G916" s="2">
        <v>45591</v>
      </c>
      <c r="H916" s="3">
        <v>1</v>
      </c>
      <c r="I916" s="4">
        <v>4000</v>
      </c>
      <c r="J916" s="4">
        <v>4300</v>
      </c>
      <c r="K916" t="s">
        <v>15</v>
      </c>
      <c r="L916" s="4">
        <f t="shared" si="42"/>
        <v>-300</v>
      </c>
      <c r="M916" t="str">
        <f t="shared" si="43"/>
        <v>Over Budget</v>
      </c>
      <c r="N916">
        <f t="shared" ca="1" si="44"/>
        <v>38</v>
      </c>
    </row>
    <row r="917" spans="1:14" x14ac:dyDescent="0.25">
      <c r="A917" t="s">
        <v>121</v>
      </c>
      <c r="B917" t="s">
        <v>69</v>
      </c>
      <c r="C917" t="s">
        <v>105</v>
      </c>
      <c r="D917" t="s">
        <v>23</v>
      </c>
      <c r="E917" s="2">
        <v>45782</v>
      </c>
      <c r="F917" s="2">
        <v>45794</v>
      </c>
      <c r="G917" s="2"/>
      <c r="H917" s="3">
        <v>0</v>
      </c>
      <c r="I917" s="4">
        <v>42000</v>
      </c>
      <c r="J917" s="4">
        <v>0</v>
      </c>
      <c r="K917" t="s">
        <v>48</v>
      </c>
      <c r="L917" s="4">
        <f t="shared" si="42"/>
        <v>42000</v>
      </c>
      <c r="M917" t="str">
        <f t="shared" si="43"/>
        <v>Within Budget</v>
      </c>
      <c r="N917">
        <f t="shared" ca="1" si="44"/>
        <v>492</v>
      </c>
    </row>
    <row r="918" spans="1:14" x14ac:dyDescent="0.25">
      <c r="A918" t="s">
        <v>20</v>
      </c>
      <c r="B918" t="s">
        <v>98</v>
      </c>
      <c r="C918" t="s">
        <v>105</v>
      </c>
      <c r="D918" t="s">
        <v>23</v>
      </c>
      <c r="E918" s="2">
        <v>45673</v>
      </c>
      <c r="F918" s="2">
        <v>45693</v>
      </c>
      <c r="G918" s="2">
        <v>45697</v>
      </c>
      <c r="H918" s="3">
        <v>1</v>
      </c>
      <c r="I918" s="4">
        <v>20000</v>
      </c>
      <c r="J918" s="4">
        <v>18500</v>
      </c>
      <c r="K918" t="s">
        <v>15</v>
      </c>
      <c r="L918" s="4">
        <f t="shared" si="42"/>
        <v>1500</v>
      </c>
      <c r="M918" t="str">
        <f t="shared" si="43"/>
        <v>Within Budget</v>
      </c>
      <c r="N918">
        <f t="shared" ca="1" si="44"/>
        <v>4</v>
      </c>
    </row>
    <row r="919" spans="1:14" x14ac:dyDescent="0.25">
      <c r="A919" t="s">
        <v>66</v>
      </c>
      <c r="B919" t="s">
        <v>49</v>
      </c>
      <c r="C919" t="s">
        <v>100</v>
      </c>
      <c r="D919" t="s">
        <v>36</v>
      </c>
      <c r="E919" s="2">
        <v>45541</v>
      </c>
      <c r="F919" s="2">
        <v>45576</v>
      </c>
      <c r="G919" s="2">
        <v>45577</v>
      </c>
      <c r="H919" s="3">
        <v>1</v>
      </c>
      <c r="I919" s="4">
        <v>42000</v>
      </c>
      <c r="J919" s="4">
        <v>55600</v>
      </c>
      <c r="K919" t="s">
        <v>15</v>
      </c>
      <c r="L919" s="4">
        <f t="shared" si="42"/>
        <v>-13600</v>
      </c>
      <c r="M919" t="str">
        <f t="shared" si="43"/>
        <v>Over Budget</v>
      </c>
      <c r="N919">
        <f t="shared" ca="1" si="44"/>
        <v>1</v>
      </c>
    </row>
    <row r="920" spans="1:14" x14ac:dyDescent="0.25">
      <c r="A920" t="s">
        <v>103</v>
      </c>
      <c r="B920" t="s">
        <v>93</v>
      </c>
      <c r="C920" t="s">
        <v>35</v>
      </c>
      <c r="D920" t="s">
        <v>23</v>
      </c>
      <c r="E920" s="2">
        <v>45782</v>
      </c>
      <c r="F920" s="2">
        <v>45810</v>
      </c>
      <c r="G920" s="2"/>
      <c r="H920" s="3">
        <v>0</v>
      </c>
      <c r="I920" s="4">
        <v>48000</v>
      </c>
      <c r="J920" s="4">
        <v>0</v>
      </c>
      <c r="K920" t="s">
        <v>48</v>
      </c>
      <c r="L920" s="4">
        <f t="shared" si="42"/>
        <v>48000</v>
      </c>
      <c r="M920" t="str">
        <f t="shared" si="43"/>
        <v>Within Budget</v>
      </c>
      <c r="N920">
        <f t="shared" ca="1" si="44"/>
        <v>476</v>
      </c>
    </row>
    <row r="921" spans="1:14" x14ac:dyDescent="0.25">
      <c r="A921" t="s">
        <v>79</v>
      </c>
      <c r="B921" t="s">
        <v>58</v>
      </c>
      <c r="C921" t="s">
        <v>61</v>
      </c>
      <c r="D921" t="s">
        <v>14</v>
      </c>
      <c r="E921" s="2">
        <v>45814</v>
      </c>
      <c r="F921" s="2">
        <v>45836</v>
      </c>
      <c r="G921" s="2"/>
      <c r="H921" s="3">
        <v>0</v>
      </c>
      <c r="I921" s="4">
        <v>39000</v>
      </c>
      <c r="J921" s="4">
        <v>0</v>
      </c>
      <c r="K921" t="s">
        <v>48</v>
      </c>
      <c r="L921" s="4">
        <f t="shared" si="42"/>
        <v>39000</v>
      </c>
      <c r="M921" t="str">
        <f t="shared" si="43"/>
        <v>Within Budget</v>
      </c>
      <c r="N921">
        <f t="shared" ca="1" si="44"/>
        <v>450</v>
      </c>
    </row>
    <row r="922" spans="1:14" x14ac:dyDescent="0.25">
      <c r="A922" t="s">
        <v>24</v>
      </c>
      <c r="B922" t="s">
        <v>95</v>
      </c>
      <c r="C922" t="s">
        <v>13</v>
      </c>
      <c r="D922" t="s">
        <v>14</v>
      </c>
      <c r="E922" s="2">
        <v>45618</v>
      </c>
      <c r="F922" s="2">
        <v>45646</v>
      </c>
      <c r="G922" s="2">
        <v>45648</v>
      </c>
      <c r="H922" s="3">
        <v>1</v>
      </c>
      <c r="I922" s="4">
        <v>41000</v>
      </c>
      <c r="J922" s="4">
        <v>37200</v>
      </c>
      <c r="K922" t="s">
        <v>15</v>
      </c>
      <c r="L922" s="4">
        <f t="shared" si="42"/>
        <v>3800</v>
      </c>
      <c r="M922" t="str">
        <f t="shared" si="43"/>
        <v>Within Budget</v>
      </c>
      <c r="N922">
        <f t="shared" ca="1" si="44"/>
        <v>2</v>
      </c>
    </row>
    <row r="923" spans="1:14" x14ac:dyDescent="0.25">
      <c r="A923" t="s">
        <v>104</v>
      </c>
      <c r="B923" t="s">
        <v>92</v>
      </c>
      <c r="C923" t="s">
        <v>97</v>
      </c>
      <c r="D923" t="s">
        <v>36</v>
      </c>
      <c r="E923" s="2">
        <v>45821</v>
      </c>
      <c r="F923" s="2">
        <v>45845</v>
      </c>
      <c r="G923" s="2"/>
      <c r="H923" s="3">
        <v>0</v>
      </c>
      <c r="I923" s="4">
        <v>48000</v>
      </c>
      <c r="J923" s="4">
        <v>0</v>
      </c>
      <c r="K923" t="s">
        <v>48</v>
      </c>
      <c r="L923" s="4">
        <f t="shared" si="42"/>
        <v>48000</v>
      </c>
      <c r="M923" t="str">
        <f t="shared" si="43"/>
        <v>Within Budget</v>
      </c>
      <c r="N923">
        <f t="shared" ca="1" si="44"/>
        <v>441</v>
      </c>
    </row>
    <row r="924" spans="1:14" x14ac:dyDescent="0.25">
      <c r="A924" t="s">
        <v>118</v>
      </c>
      <c r="B924" t="s">
        <v>51</v>
      </c>
      <c r="C924" t="s">
        <v>52</v>
      </c>
      <c r="D924" t="s">
        <v>14</v>
      </c>
      <c r="E924" s="2">
        <v>45786</v>
      </c>
      <c r="F924" s="2">
        <v>45805</v>
      </c>
      <c r="G924" s="2"/>
      <c r="H924" s="3">
        <v>0</v>
      </c>
      <c r="I924" s="4">
        <v>36000</v>
      </c>
      <c r="J924" s="4">
        <v>0</v>
      </c>
      <c r="K924" t="s">
        <v>48</v>
      </c>
      <c r="L924" s="4">
        <f t="shared" si="42"/>
        <v>36000</v>
      </c>
      <c r="M924" t="str">
        <f t="shared" si="43"/>
        <v>Within Budget</v>
      </c>
      <c r="N924">
        <f t="shared" ca="1" si="44"/>
        <v>481</v>
      </c>
    </row>
    <row r="925" spans="1:14" x14ac:dyDescent="0.25">
      <c r="A925" t="s">
        <v>62</v>
      </c>
      <c r="B925" t="s">
        <v>124</v>
      </c>
      <c r="C925" t="s">
        <v>106</v>
      </c>
      <c r="D925" t="s">
        <v>36</v>
      </c>
      <c r="E925" s="2">
        <v>45435</v>
      </c>
      <c r="F925" s="2">
        <v>45478</v>
      </c>
      <c r="G925" s="2">
        <v>45492</v>
      </c>
      <c r="H925" s="3">
        <v>1</v>
      </c>
      <c r="I925" s="4">
        <v>44000</v>
      </c>
      <c r="J925" s="4">
        <v>43600</v>
      </c>
      <c r="K925" t="s">
        <v>15</v>
      </c>
      <c r="L925" s="4">
        <f t="shared" si="42"/>
        <v>400</v>
      </c>
      <c r="M925" t="str">
        <f t="shared" si="43"/>
        <v>Within Budget</v>
      </c>
      <c r="N925">
        <f t="shared" ca="1" si="44"/>
        <v>14</v>
      </c>
    </row>
    <row r="926" spans="1:14" x14ac:dyDescent="0.25">
      <c r="A926" t="s">
        <v>109</v>
      </c>
      <c r="B926" t="s">
        <v>117</v>
      </c>
      <c r="C926" t="s">
        <v>41</v>
      </c>
      <c r="D926" t="s">
        <v>14</v>
      </c>
      <c r="E926" s="2">
        <v>45610</v>
      </c>
      <c r="F926" s="2">
        <v>45618</v>
      </c>
      <c r="G926" s="2">
        <v>45636</v>
      </c>
      <c r="H926" s="3">
        <v>1</v>
      </c>
      <c r="I926" s="4">
        <v>4000</v>
      </c>
      <c r="J926" s="4">
        <v>4100</v>
      </c>
      <c r="K926" t="s">
        <v>15</v>
      </c>
      <c r="L926" s="4">
        <f t="shared" si="42"/>
        <v>-100</v>
      </c>
      <c r="M926" t="str">
        <f t="shared" si="43"/>
        <v>Over Budget</v>
      </c>
      <c r="N926">
        <f t="shared" ca="1" si="44"/>
        <v>18</v>
      </c>
    </row>
    <row r="927" spans="1:14" x14ac:dyDescent="0.25">
      <c r="A927" t="s">
        <v>77</v>
      </c>
      <c r="B927" t="s">
        <v>114</v>
      </c>
      <c r="C927" t="s">
        <v>18</v>
      </c>
      <c r="D927" t="s">
        <v>14</v>
      </c>
      <c r="E927" s="2">
        <v>45820</v>
      </c>
      <c r="F927" s="2">
        <v>45837</v>
      </c>
      <c r="G927" s="2"/>
      <c r="H927" s="3">
        <v>0</v>
      </c>
      <c r="I927" s="4">
        <v>10000</v>
      </c>
      <c r="J927" s="4">
        <v>0</v>
      </c>
      <c r="K927" t="s">
        <v>48</v>
      </c>
      <c r="L927" s="4">
        <f t="shared" si="42"/>
        <v>10000</v>
      </c>
      <c r="M927" t="str">
        <f t="shared" si="43"/>
        <v>Within Budget</v>
      </c>
      <c r="N927">
        <f t="shared" ca="1" si="44"/>
        <v>449</v>
      </c>
    </row>
    <row r="928" spans="1:14" x14ac:dyDescent="0.25">
      <c r="A928" t="s">
        <v>29</v>
      </c>
      <c r="B928" t="s">
        <v>124</v>
      </c>
      <c r="C928" t="s">
        <v>100</v>
      </c>
      <c r="D928" t="s">
        <v>14</v>
      </c>
      <c r="E928" s="2">
        <v>45553</v>
      </c>
      <c r="F928" s="2">
        <v>45592</v>
      </c>
      <c r="G928" s="2">
        <v>45610</v>
      </c>
      <c r="H928" s="3">
        <v>1</v>
      </c>
      <c r="I928" s="4">
        <v>85000</v>
      </c>
      <c r="J928" s="4">
        <v>89400</v>
      </c>
      <c r="K928" t="s">
        <v>15</v>
      </c>
      <c r="L928" s="4">
        <f t="shared" si="42"/>
        <v>-4400</v>
      </c>
      <c r="M928" t="str">
        <f t="shared" si="43"/>
        <v>Over Budget</v>
      </c>
      <c r="N928">
        <f t="shared" ca="1" si="44"/>
        <v>18</v>
      </c>
    </row>
    <row r="929" spans="1:14" x14ac:dyDescent="0.25">
      <c r="A929" t="s">
        <v>118</v>
      </c>
      <c r="B929" t="s">
        <v>43</v>
      </c>
      <c r="C929" t="s">
        <v>87</v>
      </c>
      <c r="D929" t="s">
        <v>23</v>
      </c>
      <c r="E929" s="2">
        <v>45296</v>
      </c>
      <c r="F929" s="2">
        <v>45339</v>
      </c>
      <c r="G929" s="2">
        <v>45315</v>
      </c>
      <c r="H929" s="3">
        <v>0.3</v>
      </c>
      <c r="I929" s="4">
        <v>72000</v>
      </c>
      <c r="J929" s="4">
        <v>24400</v>
      </c>
      <c r="K929" t="s">
        <v>27</v>
      </c>
      <c r="L929" s="4">
        <f t="shared" si="42"/>
        <v>47600</v>
      </c>
      <c r="M929" t="str">
        <f t="shared" si="43"/>
        <v>Within Budget</v>
      </c>
      <c r="N929">
        <f t="shared" ca="1" si="44"/>
        <v>-24</v>
      </c>
    </row>
    <row r="930" spans="1:14" x14ac:dyDescent="0.25">
      <c r="A930" t="s">
        <v>29</v>
      </c>
      <c r="B930" t="s">
        <v>114</v>
      </c>
      <c r="C930" t="s">
        <v>22</v>
      </c>
      <c r="D930" t="s">
        <v>36</v>
      </c>
      <c r="E930" s="2">
        <v>45531</v>
      </c>
      <c r="F930" s="2">
        <v>45546</v>
      </c>
      <c r="G930" s="2">
        <v>45551</v>
      </c>
      <c r="H930" s="3">
        <v>1</v>
      </c>
      <c r="I930" s="4">
        <v>39000</v>
      </c>
      <c r="J930" s="4">
        <v>39500</v>
      </c>
      <c r="K930" t="s">
        <v>15</v>
      </c>
      <c r="L930" s="4">
        <f t="shared" si="42"/>
        <v>-500</v>
      </c>
      <c r="M930" t="str">
        <f t="shared" si="43"/>
        <v>Over Budget</v>
      </c>
      <c r="N930">
        <f t="shared" ca="1" si="44"/>
        <v>5</v>
      </c>
    </row>
    <row r="931" spans="1:14" x14ac:dyDescent="0.25">
      <c r="A931" t="s">
        <v>104</v>
      </c>
      <c r="B931" t="s">
        <v>88</v>
      </c>
      <c r="C931" t="s">
        <v>61</v>
      </c>
      <c r="D931" t="s">
        <v>14</v>
      </c>
      <c r="E931" s="2">
        <v>45715</v>
      </c>
      <c r="F931" s="2">
        <v>45738</v>
      </c>
      <c r="G931" s="2"/>
      <c r="H931" s="3">
        <v>0.4</v>
      </c>
      <c r="I931" s="4">
        <v>18000</v>
      </c>
      <c r="J931" s="4">
        <v>3600</v>
      </c>
      <c r="K931" t="s">
        <v>94</v>
      </c>
      <c r="L931" s="4">
        <f t="shared" si="42"/>
        <v>14400</v>
      </c>
      <c r="M931" t="str">
        <f t="shared" si="43"/>
        <v>Within Budget</v>
      </c>
      <c r="N931">
        <f t="shared" ca="1" si="44"/>
        <v>548</v>
      </c>
    </row>
    <row r="932" spans="1:14" x14ac:dyDescent="0.25">
      <c r="A932" t="s">
        <v>29</v>
      </c>
      <c r="B932" t="s">
        <v>85</v>
      </c>
      <c r="C932" t="s">
        <v>97</v>
      </c>
      <c r="D932" t="s">
        <v>23</v>
      </c>
      <c r="E932" s="2">
        <v>45577</v>
      </c>
      <c r="F932" s="2">
        <v>45603</v>
      </c>
      <c r="G932" s="2">
        <v>45621</v>
      </c>
      <c r="H932" s="3">
        <v>1</v>
      </c>
      <c r="I932" s="4">
        <v>34000</v>
      </c>
      <c r="J932" s="4">
        <v>41100</v>
      </c>
      <c r="K932" t="s">
        <v>15</v>
      </c>
      <c r="L932" s="4">
        <f t="shared" si="42"/>
        <v>-7100</v>
      </c>
      <c r="M932" t="str">
        <f t="shared" si="43"/>
        <v>Over Budget</v>
      </c>
      <c r="N932">
        <f t="shared" ca="1" si="44"/>
        <v>18</v>
      </c>
    </row>
    <row r="933" spans="1:14" x14ac:dyDescent="0.25">
      <c r="A933" t="s">
        <v>16</v>
      </c>
      <c r="B933" t="s">
        <v>49</v>
      </c>
      <c r="C933" t="s">
        <v>54</v>
      </c>
      <c r="D933" t="s">
        <v>23</v>
      </c>
      <c r="E933" s="2">
        <v>45643</v>
      </c>
      <c r="F933" s="2">
        <v>45653</v>
      </c>
      <c r="G933" s="2">
        <v>45653</v>
      </c>
      <c r="H933" s="3">
        <v>1</v>
      </c>
      <c r="I933" s="4">
        <v>2000</v>
      </c>
      <c r="J933" s="4">
        <v>2000</v>
      </c>
      <c r="K933" t="s">
        <v>15</v>
      </c>
      <c r="L933" s="4">
        <f t="shared" si="42"/>
        <v>0</v>
      </c>
      <c r="M933" t="str">
        <f t="shared" si="43"/>
        <v>Within Budget</v>
      </c>
      <c r="N933">
        <f t="shared" ca="1" si="44"/>
        <v>0</v>
      </c>
    </row>
    <row r="934" spans="1:14" x14ac:dyDescent="0.25">
      <c r="A934" t="s">
        <v>104</v>
      </c>
      <c r="B934" t="s">
        <v>125</v>
      </c>
      <c r="C934" t="s">
        <v>28</v>
      </c>
      <c r="D934" t="s">
        <v>14</v>
      </c>
      <c r="E934" s="2">
        <v>45311</v>
      </c>
      <c r="F934" s="2">
        <v>45317</v>
      </c>
      <c r="G934" s="2">
        <v>45312</v>
      </c>
      <c r="H934" s="3">
        <v>0.3</v>
      </c>
      <c r="I934" s="4">
        <v>12000</v>
      </c>
      <c r="J934" s="4">
        <v>4600</v>
      </c>
      <c r="K934" t="s">
        <v>27</v>
      </c>
      <c r="L934" s="4">
        <f t="shared" si="42"/>
        <v>7400</v>
      </c>
      <c r="M934" t="str">
        <f t="shared" si="43"/>
        <v>Within Budget</v>
      </c>
      <c r="N934">
        <f t="shared" ca="1" si="44"/>
        <v>-5</v>
      </c>
    </row>
    <row r="935" spans="1:14" x14ac:dyDescent="0.25">
      <c r="A935" t="s">
        <v>24</v>
      </c>
      <c r="B935" t="s">
        <v>56</v>
      </c>
      <c r="C935" t="s">
        <v>22</v>
      </c>
      <c r="D935" t="s">
        <v>14</v>
      </c>
      <c r="E935" s="2">
        <v>45519</v>
      </c>
      <c r="F935" s="2">
        <v>45539</v>
      </c>
      <c r="G935" s="2">
        <v>45562</v>
      </c>
      <c r="H935" s="3">
        <v>1</v>
      </c>
      <c r="I935" s="4">
        <v>25000</v>
      </c>
      <c r="J935" s="4">
        <v>34000</v>
      </c>
      <c r="K935" t="s">
        <v>15</v>
      </c>
      <c r="L935" s="4">
        <f t="shared" si="42"/>
        <v>-9000</v>
      </c>
      <c r="M935" t="str">
        <f t="shared" si="43"/>
        <v>Over Budget</v>
      </c>
      <c r="N935">
        <f t="shared" ca="1" si="44"/>
        <v>23</v>
      </c>
    </row>
    <row r="936" spans="1:14" x14ac:dyDescent="0.25">
      <c r="A936" t="s">
        <v>57</v>
      </c>
      <c r="B936" t="s">
        <v>74</v>
      </c>
      <c r="C936" t="s">
        <v>39</v>
      </c>
      <c r="D936" t="s">
        <v>14</v>
      </c>
      <c r="E936" s="2">
        <v>45786</v>
      </c>
      <c r="F936" s="2">
        <v>45795</v>
      </c>
      <c r="G936" s="2"/>
      <c r="H936" s="3">
        <v>0</v>
      </c>
      <c r="I936" s="4">
        <v>14000</v>
      </c>
      <c r="J936" s="4">
        <v>0</v>
      </c>
      <c r="K936" t="s">
        <v>48</v>
      </c>
      <c r="L936" s="4">
        <f t="shared" si="42"/>
        <v>14000</v>
      </c>
      <c r="M936" t="str">
        <f t="shared" si="43"/>
        <v>Within Budget</v>
      </c>
      <c r="N936">
        <f t="shared" ca="1" si="44"/>
        <v>491</v>
      </c>
    </row>
    <row r="937" spans="1:14" x14ac:dyDescent="0.25">
      <c r="A937" t="s">
        <v>50</v>
      </c>
      <c r="B937" t="s">
        <v>96</v>
      </c>
      <c r="C937" t="s">
        <v>39</v>
      </c>
      <c r="D937" t="s">
        <v>14</v>
      </c>
      <c r="E937" s="2">
        <v>45729</v>
      </c>
      <c r="F937" s="2">
        <v>45755</v>
      </c>
      <c r="G937" s="2"/>
      <c r="H937" s="3">
        <v>0.71</v>
      </c>
      <c r="I937" s="4">
        <v>16000</v>
      </c>
      <c r="J937" s="4">
        <v>9700</v>
      </c>
      <c r="K937" t="s">
        <v>65</v>
      </c>
      <c r="L937" s="4">
        <f t="shared" si="42"/>
        <v>6300</v>
      </c>
      <c r="M937" t="str">
        <f t="shared" si="43"/>
        <v>Within Budget</v>
      </c>
      <c r="N937">
        <f t="shared" ca="1" si="44"/>
        <v>531</v>
      </c>
    </row>
    <row r="938" spans="1:14" x14ac:dyDescent="0.25">
      <c r="A938" t="s">
        <v>68</v>
      </c>
      <c r="B938" t="s">
        <v>101</v>
      </c>
      <c r="C938" t="s">
        <v>60</v>
      </c>
      <c r="D938" t="s">
        <v>14</v>
      </c>
      <c r="E938" s="2">
        <v>45571</v>
      </c>
      <c r="F938" s="2">
        <v>45606</v>
      </c>
      <c r="G938" s="2">
        <v>45641</v>
      </c>
      <c r="H938" s="3">
        <v>1</v>
      </c>
      <c r="I938" s="4">
        <v>97000</v>
      </c>
      <c r="J938" s="4">
        <v>94600</v>
      </c>
      <c r="K938" t="s">
        <v>15</v>
      </c>
      <c r="L938" s="4">
        <f t="shared" si="42"/>
        <v>2400</v>
      </c>
      <c r="M938" t="str">
        <f t="shared" si="43"/>
        <v>Within Budget</v>
      </c>
      <c r="N938">
        <f t="shared" ca="1" si="44"/>
        <v>35</v>
      </c>
    </row>
    <row r="939" spans="1:14" x14ac:dyDescent="0.25">
      <c r="A939" t="s">
        <v>42</v>
      </c>
      <c r="B939" t="s">
        <v>84</v>
      </c>
      <c r="C939" t="s">
        <v>106</v>
      </c>
      <c r="D939" t="s">
        <v>14</v>
      </c>
      <c r="E939" s="2">
        <v>45600</v>
      </c>
      <c r="F939" s="2">
        <v>45616</v>
      </c>
      <c r="G939" s="2"/>
      <c r="H939" s="3">
        <v>0.27</v>
      </c>
      <c r="I939" s="4">
        <v>44000</v>
      </c>
      <c r="J939" s="4">
        <v>34500</v>
      </c>
      <c r="K939" t="s">
        <v>19</v>
      </c>
      <c r="L939" s="4">
        <f t="shared" si="42"/>
        <v>9500</v>
      </c>
      <c r="M939" t="str">
        <f t="shared" si="43"/>
        <v>Within Budget</v>
      </c>
      <c r="N939">
        <f t="shared" ca="1" si="44"/>
        <v>670</v>
      </c>
    </row>
    <row r="940" spans="1:14" x14ac:dyDescent="0.25">
      <c r="A940" t="s">
        <v>50</v>
      </c>
      <c r="B940" t="s">
        <v>123</v>
      </c>
      <c r="C940" t="s">
        <v>71</v>
      </c>
      <c r="D940" t="s">
        <v>36</v>
      </c>
      <c r="E940" s="2">
        <v>45360</v>
      </c>
      <c r="F940" s="2">
        <v>45407</v>
      </c>
      <c r="G940" s="2">
        <v>45402</v>
      </c>
      <c r="H940" s="3">
        <v>1</v>
      </c>
      <c r="I940" s="4">
        <v>32000</v>
      </c>
      <c r="J940" s="4">
        <v>35600</v>
      </c>
      <c r="K940" t="s">
        <v>15</v>
      </c>
      <c r="L940" s="4">
        <f t="shared" si="42"/>
        <v>-3600</v>
      </c>
      <c r="M940" t="str">
        <f t="shared" si="43"/>
        <v>Over Budget</v>
      </c>
      <c r="N940">
        <f t="shared" ca="1" si="44"/>
        <v>-5</v>
      </c>
    </row>
    <row r="941" spans="1:14" x14ac:dyDescent="0.25">
      <c r="A941" t="s">
        <v>107</v>
      </c>
      <c r="B941" t="s">
        <v>76</v>
      </c>
      <c r="C941" t="s">
        <v>52</v>
      </c>
      <c r="D941" t="s">
        <v>14</v>
      </c>
      <c r="E941" s="2">
        <v>45753</v>
      </c>
      <c r="F941" s="2">
        <v>45763</v>
      </c>
      <c r="G941" s="2"/>
      <c r="H941" s="3">
        <v>0</v>
      </c>
      <c r="I941" s="4">
        <v>15000</v>
      </c>
      <c r="J941" s="4">
        <v>0</v>
      </c>
      <c r="K941" t="s">
        <v>48</v>
      </c>
      <c r="L941" s="4">
        <f t="shared" si="42"/>
        <v>15000</v>
      </c>
      <c r="M941" t="str">
        <f t="shared" si="43"/>
        <v>Within Budget</v>
      </c>
      <c r="N941">
        <f t="shared" ca="1" si="44"/>
        <v>523</v>
      </c>
    </row>
    <row r="942" spans="1:14" x14ac:dyDescent="0.25">
      <c r="A942" t="s">
        <v>91</v>
      </c>
      <c r="B942" t="s">
        <v>116</v>
      </c>
      <c r="C942" t="s">
        <v>35</v>
      </c>
      <c r="D942" t="s">
        <v>23</v>
      </c>
      <c r="E942" s="2">
        <v>45656</v>
      </c>
      <c r="F942" s="2">
        <v>45678</v>
      </c>
      <c r="G942" s="2"/>
      <c r="H942" s="3">
        <v>0.64</v>
      </c>
      <c r="I942" s="4">
        <v>13000</v>
      </c>
      <c r="J942" s="4">
        <v>6100</v>
      </c>
      <c r="K942" t="s">
        <v>94</v>
      </c>
      <c r="L942" s="4">
        <f t="shared" si="42"/>
        <v>6900</v>
      </c>
      <c r="M942" t="str">
        <f t="shared" si="43"/>
        <v>Within Budget</v>
      </c>
      <c r="N942">
        <f t="shared" ca="1" si="44"/>
        <v>608</v>
      </c>
    </row>
    <row r="943" spans="1:14" x14ac:dyDescent="0.25">
      <c r="A943" t="s">
        <v>81</v>
      </c>
      <c r="B943" t="s">
        <v>51</v>
      </c>
      <c r="C943" t="s">
        <v>47</v>
      </c>
      <c r="D943" t="s">
        <v>23</v>
      </c>
      <c r="E943" s="2">
        <v>45455</v>
      </c>
      <c r="F943" s="2">
        <v>45467</v>
      </c>
      <c r="G943" s="2"/>
      <c r="H943" s="3">
        <v>0.79</v>
      </c>
      <c r="I943" s="4">
        <v>23000</v>
      </c>
      <c r="J943" s="4">
        <v>18500</v>
      </c>
      <c r="K943" t="s">
        <v>19</v>
      </c>
      <c r="L943" s="4">
        <f t="shared" si="42"/>
        <v>4500</v>
      </c>
      <c r="M943" t="str">
        <f t="shared" si="43"/>
        <v>Within Budget</v>
      </c>
      <c r="N943">
        <f t="shared" ca="1" si="44"/>
        <v>819</v>
      </c>
    </row>
    <row r="944" spans="1:14" x14ac:dyDescent="0.25">
      <c r="A944" t="s">
        <v>24</v>
      </c>
      <c r="B944" t="s">
        <v>49</v>
      </c>
      <c r="C944" t="s">
        <v>87</v>
      </c>
      <c r="D944" t="s">
        <v>14</v>
      </c>
      <c r="E944" s="2">
        <v>45741</v>
      </c>
      <c r="F944" s="2">
        <v>45758</v>
      </c>
      <c r="G944" s="2"/>
      <c r="H944" s="3">
        <v>0.33</v>
      </c>
      <c r="I944" s="4">
        <v>28000</v>
      </c>
      <c r="J944" s="4">
        <v>7500</v>
      </c>
      <c r="K944" t="s">
        <v>65</v>
      </c>
      <c r="L944" s="4">
        <f t="shared" si="42"/>
        <v>20500</v>
      </c>
      <c r="M944" t="str">
        <f t="shared" si="43"/>
        <v>Within Budget</v>
      </c>
      <c r="N944">
        <f t="shared" ca="1" si="44"/>
        <v>528</v>
      </c>
    </row>
    <row r="945" spans="1:14" x14ac:dyDescent="0.25">
      <c r="A945" t="s">
        <v>120</v>
      </c>
      <c r="B945" t="s">
        <v>86</v>
      </c>
      <c r="C945" t="s">
        <v>31</v>
      </c>
      <c r="D945" t="s">
        <v>14</v>
      </c>
      <c r="E945" s="2">
        <v>45418</v>
      </c>
      <c r="F945" s="2">
        <v>45446</v>
      </c>
      <c r="G945" s="2">
        <v>45448</v>
      </c>
      <c r="H945" s="3">
        <v>1</v>
      </c>
      <c r="I945" s="4">
        <v>23000</v>
      </c>
      <c r="J945" s="4">
        <v>26600</v>
      </c>
      <c r="K945" t="s">
        <v>15</v>
      </c>
      <c r="L945" s="4">
        <f t="shared" si="42"/>
        <v>-3600</v>
      </c>
      <c r="M945" t="str">
        <f t="shared" si="43"/>
        <v>Over Budget</v>
      </c>
      <c r="N945">
        <f t="shared" ca="1" si="44"/>
        <v>2</v>
      </c>
    </row>
    <row r="946" spans="1:14" x14ac:dyDescent="0.25">
      <c r="A946" t="s">
        <v>20</v>
      </c>
      <c r="B946" t="s">
        <v>78</v>
      </c>
      <c r="C946" t="s">
        <v>47</v>
      </c>
      <c r="D946" t="s">
        <v>23</v>
      </c>
      <c r="E946" s="2">
        <v>45759</v>
      </c>
      <c r="F946" s="2">
        <v>45778</v>
      </c>
      <c r="G946" s="2"/>
      <c r="H946" s="3">
        <v>0</v>
      </c>
      <c r="I946" s="4">
        <v>37000</v>
      </c>
      <c r="J946" s="4">
        <v>0</v>
      </c>
      <c r="K946" t="s">
        <v>48</v>
      </c>
      <c r="L946" s="4">
        <f t="shared" si="42"/>
        <v>37000</v>
      </c>
      <c r="M946" t="str">
        <f t="shared" si="43"/>
        <v>Within Budget</v>
      </c>
      <c r="N946">
        <f t="shared" ca="1" si="44"/>
        <v>508</v>
      </c>
    </row>
    <row r="947" spans="1:14" x14ac:dyDescent="0.25">
      <c r="A947" t="s">
        <v>77</v>
      </c>
      <c r="B947" t="s">
        <v>96</v>
      </c>
      <c r="C947" t="s">
        <v>28</v>
      </c>
      <c r="D947" t="s">
        <v>14</v>
      </c>
      <c r="E947" s="2">
        <v>45387</v>
      </c>
      <c r="F947" s="2">
        <v>45399</v>
      </c>
      <c r="G947" s="2">
        <v>45392</v>
      </c>
      <c r="H947" s="3">
        <v>0.15</v>
      </c>
      <c r="I947" s="4">
        <v>30000</v>
      </c>
      <c r="J947" s="4">
        <v>5400</v>
      </c>
      <c r="K947" t="s">
        <v>27</v>
      </c>
      <c r="L947" s="4">
        <f t="shared" si="42"/>
        <v>24600</v>
      </c>
      <c r="M947" t="str">
        <f t="shared" si="43"/>
        <v>Within Budget</v>
      </c>
      <c r="N947">
        <f t="shared" ca="1" si="44"/>
        <v>-7</v>
      </c>
    </row>
    <row r="948" spans="1:14" x14ac:dyDescent="0.25">
      <c r="A948" t="s">
        <v>103</v>
      </c>
      <c r="B948" t="s">
        <v>70</v>
      </c>
      <c r="C948" t="s">
        <v>100</v>
      </c>
      <c r="D948" t="s">
        <v>36</v>
      </c>
      <c r="E948" s="2">
        <v>45630</v>
      </c>
      <c r="F948" s="2">
        <v>45636</v>
      </c>
      <c r="G948" s="2"/>
      <c r="H948" s="3">
        <v>0.37</v>
      </c>
      <c r="I948" s="4">
        <v>15000</v>
      </c>
      <c r="J948" s="4">
        <v>13700</v>
      </c>
      <c r="K948" t="s">
        <v>19</v>
      </c>
      <c r="L948" s="4">
        <f t="shared" si="42"/>
        <v>1300</v>
      </c>
      <c r="M948" t="str">
        <f t="shared" si="43"/>
        <v>Within Budget</v>
      </c>
      <c r="N948">
        <f t="shared" ca="1" si="44"/>
        <v>650</v>
      </c>
    </row>
    <row r="949" spans="1:14" x14ac:dyDescent="0.25">
      <c r="A949" t="s">
        <v>107</v>
      </c>
      <c r="B949" t="s">
        <v>82</v>
      </c>
      <c r="C949" t="s">
        <v>113</v>
      </c>
      <c r="D949" t="s">
        <v>14</v>
      </c>
      <c r="E949" s="2">
        <v>45328</v>
      </c>
      <c r="F949" s="2">
        <v>45346</v>
      </c>
      <c r="G949" s="2">
        <v>45372</v>
      </c>
      <c r="H949" s="3">
        <v>1</v>
      </c>
      <c r="I949" s="4">
        <v>34000</v>
      </c>
      <c r="J949" s="4">
        <v>46100</v>
      </c>
      <c r="K949" t="s">
        <v>15</v>
      </c>
      <c r="L949" s="4">
        <f t="shared" si="42"/>
        <v>-12100</v>
      </c>
      <c r="M949" t="str">
        <f t="shared" si="43"/>
        <v>Over Budget</v>
      </c>
      <c r="N949">
        <f t="shared" ca="1" si="44"/>
        <v>26</v>
      </c>
    </row>
    <row r="950" spans="1:14" x14ac:dyDescent="0.25">
      <c r="A950" t="s">
        <v>99</v>
      </c>
      <c r="B950" t="s">
        <v>122</v>
      </c>
      <c r="C950" t="s">
        <v>31</v>
      </c>
      <c r="D950" t="s">
        <v>14</v>
      </c>
      <c r="E950" s="2">
        <v>45610</v>
      </c>
      <c r="F950" s="2">
        <v>45635</v>
      </c>
      <c r="G950" s="2">
        <v>45636</v>
      </c>
      <c r="H950" s="3">
        <v>1</v>
      </c>
      <c r="I950" s="4">
        <v>12000</v>
      </c>
      <c r="J950" s="4">
        <v>11700</v>
      </c>
      <c r="K950" t="s">
        <v>15</v>
      </c>
      <c r="L950" s="4">
        <f t="shared" si="42"/>
        <v>300</v>
      </c>
      <c r="M950" t="str">
        <f t="shared" si="43"/>
        <v>Within Budget</v>
      </c>
      <c r="N950">
        <f t="shared" ca="1" si="44"/>
        <v>1</v>
      </c>
    </row>
    <row r="951" spans="1:14" x14ac:dyDescent="0.25">
      <c r="A951" t="s">
        <v>91</v>
      </c>
      <c r="B951" t="s">
        <v>90</v>
      </c>
      <c r="C951" t="s">
        <v>39</v>
      </c>
      <c r="D951" t="s">
        <v>23</v>
      </c>
      <c r="E951" s="2">
        <v>45350</v>
      </c>
      <c r="F951" s="2">
        <v>45381</v>
      </c>
      <c r="G951" s="2">
        <v>45355</v>
      </c>
      <c r="H951" s="3">
        <v>0.3</v>
      </c>
      <c r="I951" s="4">
        <v>61000</v>
      </c>
      <c r="J951" s="4">
        <v>9500</v>
      </c>
      <c r="K951" t="s">
        <v>27</v>
      </c>
      <c r="L951" s="4">
        <f t="shared" si="42"/>
        <v>51500</v>
      </c>
      <c r="M951" t="str">
        <f t="shared" si="43"/>
        <v>Within Budget</v>
      </c>
      <c r="N951">
        <f t="shared" ca="1" si="44"/>
        <v>-26</v>
      </c>
    </row>
    <row r="952" spans="1:14" x14ac:dyDescent="0.25">
      <c r="A952" t="s">
        <v>109</v>
      </c>
      <c r="B952" t="s">
        <v>75</v>
      </c>
      <c r="C952" t="s">
        <v>44</v>
      </c>
      <c r="D952" t="s">
        <v>32</v>
      </c>
      <c r="E952" s="2">
        <v>45391</v>
      </c>
      <c r="F952" s="2">
        <v>45405</v>
      </c>
      <c r="G952" s="2">
        <v>45406</v>
      </c>
      <c r="H952" s="3">
        <v>1</v>
      </c>
      <c r="I952" s="4">
        <v>25000</v>
      </c>
      <c r="J952" s="4">
        <v>24500</v>
      </c>
      <c r="K952" t="s">
        <v>15</v>
      </c>
      <c r="L952" s="4">
        <f t="shared" si="42"/>
        <v>500</v>
      </c>
      <c r="M952" t="str">
        <f t="shared" si="43"/>
        <v>Within Budget</v>
      </c>
      <c r="N952">
        <f t="shared" ca="1" si="44"/>
        <v>1</v>
      </c>
    </row>
    <row r="953" spans="1:14" x14ac:dyDescent="0.25">
      <c r="A953" t="s">
        <v>24</v>
      </c>
      <c r="B953" t="s">
        <v>85</v>
      </c>
      <c r="C953" t="s">
        <v>60</v>
      </c>
      <c r="D953" t="s">
        <v>23</v>
      </c>
      <c r="E953" s="2">
        <v>45310</v>
      </c>
      <c r="F953" s="2">
        <v>45328</v>
      </c>
      <c r="G953" s="2"/>
      <c r="H953" s="3">
        <v>0.4</v>
      </c>
      <c r="I953" s="4">
        <v>39000</v>
      </c>
      <c r="J953" s="4">
        <v>45000</v>
      </c>
      <c r="K953" t="s">
        <v>19</v>
      </c>
      <c r="L953" s="4">
        <f t="shared" si="42"/>
        <v>-6000</v>
      </c>
      <c r="M953" t="str">
        <f t="shared" si="43"/>
        <v>Over Budget</v>
      </c>
      <c r="N953">
        <f t="shared" ca="1" si="44"/>
        <v>958</v>
      </c>
    </row>
    <row r="954" spans="1:14" x14ac:dyDescent="0.25">
      <c r="A954" t="s">
        <v>121</v>
      </c>
      <c r="B954" t="s">
        <v>43</v>
      </c>
      <c r="C954" t="s">
        <v>67</v>
      </c>
      <c r="D954" t="s">
        <v>14</v>
      </c>
      <c r="E954" s="2">
        <v>45479</v>
      </c>
      <c r="F954" s="2">
        <v>45524</v>
      </c>
      <c r="G954" s="2">
        <v>45518</v>
      </c>
      <c r="H954" s="3">
        <v>1</v>
      </c>
      <c r="I954" s="4">
        <v>63000</v>
      </c>
      <c r="J954" s="4">
        <v>76100</v>
      </c>
      <c r="K954" t="s">
        <v>15</v>
      </c>
      <c r="L954" s="4">
        <f t="shared" si="42"/>
        <v>-13100</v>
      </c>
      <c r="M954" t="str">
        <f t="shared" si="43"/>
        <v>Over Budget</v>
      </c>
      <c r="N954">
        <f t="shared" ca="1" si="44"/>
        <v>-6</v>
      </c>
    </row>
    <row r="955" spans="1:14" x14ac:dyDescent="0.25">
      <c r="A955" t="s">
        <v>33</v>
      </c>
      <c r="B955" t="s">
        <v>38</v>
      </c>
      <c r="C955" t="s">
        <v>47</v>
      </c>
      <c r="D955" t="s">
        <v>14</v>
      </c>
      <c r="E955" s="2">
        <v>45486</v>
      </c>
      <c r="F955" s="2">
        <v>45502</v>
      </c>
      <c r="G955" s="2">
        <v>45500</v>
      </c>
      <c r="H955" s="3">
        <v>1</v>
      </c>
      <c r="I955" s="4">
        <v>48000</v>
      </c>
      <c r="J955" s="4">
        <v>42700</v>
      </c>
      <c r="K955" t="s">
        <v>15</v>
      </c>
      <c r="L955" s="4">
        <f t="shared" si="42"/>
        <v>5300</v>
      </c>
      <c r="M955" t="str">
        <f t="shared" si="43"/>
        <v>Within Budget</v>
      </c>
      <c r="N955">
        <f t="shared" ca="1" si="44"/>
        <v>-2</v>
      </c>
    </row>
    <row r="956" spans="1:14" x14ac:dyDescent="0.25">
      <c r="A956" t="s">
        <v>42</v>
      </c>
      <c r="B956" t="s">
        <v>124</v>
      </c>
      <c r="C956" t="s">
        <v>112</v>
      </c>
      <c r="D956" t="s">
        <v>23</v>
      </c>
      <c r="E956" s="2">
        <v>45297</v>
      </c>
      <c r="F956" s="2">
        <v>45336</v>
      </c>
      <c r="G956" s="2"/>
      <c r="H956" s="3">
        <v>0.28999999999999998</v>
      </c>
      <c r="I956" s="4">
        <v>60000</v>
      </c>
      <c r="J956" s="4">
        <v>57800</v>
      </c>
      <c r="K956" t="s">
        <v>19</v>
      </c>
      <c r="L956" s="4">
        <f t="shared" si="42"/>
        <v>2200</v>
      </c>
      <c r="M956" t="str">
        <f t="shared" si="43"/>
        <v>Within Budget</v>
      </c>
      <c r="N956">
        <f t="shared" ca="1" si="44"/>
        <v>950</v>
      </c>
    </row>
    <row r="957" spans="1:14" x14ac:dyDescent="0.25">
      <c r="A957" t="s">
        <v>24</v>
      </c>
      <c r="B957" t="s">
        <v>74</v>
      </c>
      <c r="C957" t="s">
        <v>31</v>
      </c>
      <c r="D957" t="s">
        <v>14</v>
      </c>
      <c r="E957" s="2">
        <v>45436</v>
      </c>
      <c r="F957" s="2">
        <v>45444</v>
      </c>
      <c r="G957" s="2">
        <v>45441</v>
      </c>
      <c r="H957" s="3">
        <v>1</v>
      </c>
      <c r="I957" s="4">
        <v>2000</v>
      </c>
      <c r="J957" s="4">
        <v>2000</v>
      </c>
      <c r="K957" t="s">
        <v>15</v>
      </c>
      <c r="L957" s="4">
        <f t="shared" si="42"/>
        <v>0</v>
      </c>
      <c r="M957" t="str">
        <f t="shared" si="43"/>
        <v>Within Budget</v>
      </c>
      <c r="N957">
        <f t="shared" ca="1" si="44"/>
        <v>-3</v>
      </c>
    </row>
    <row r="958" spans="1:14" x14ac:dyDescent="0.25">
      <c r="A958" t="s">
        <v>37</v>
      </c>
      <c r="B958" t="s">
        <v>17</v>
      </c>
      <c r="C958" t="s">
        <v>112</v>
      </c>
      <c r="D958" t="s">
        <v>36</v>
      </c>
      <c r="E958" s="2">
        <v>45294</v>
      </c>
      <c r="F958" s="2">
        <v>45320</v>
      </c>
      <c r="G958" s="2">
        <v>45323</v>
      </c>
      <c r="H958" s="3">
        <v>1</v>
      </c>
      <c r="I958" s="4">
        <v>39000</v>
      </c>
      <c r="J958" s="4">
        <v>35600</v>
      </c>
      <c r="K958" t="s">
        <v>15</v>
      </c>
      <c r="L958" s="4">
        <f t="shared" si="42"/>
        <v>3400</v>
      </c>
      <c r="M958" t="str">
        <f t="shared" si="43"/>
        <v>Within Budget</v>
      </c>
      <c r="N958">
        <f t="shared" ca="1" si="44"/>
        <v>3</v>
      </c>
    </row>
    <row r="959" spans="1:14" x14ac:dyDescent="0.25">
      <c r="A959" t="s">
        <v>104</v>
      </c>
      <c r="B959" t="s">
        <v>76</v>
      </c>
      <c r="C959" t="s">
        <v>31</v>
      </c>
      <c r="D959" t="s">
        <v>23</v>
      </c>
      <c r="E959" s="2">
        <v>45293</v>
      </c>
      <c r="F959" s="2">
        <v>45306</v>
      </c>
      <c r="G959" s="2"/>
      <c r="H959" s="3">
        <v>0.78</v>
      </c>
      <c r="I959" s="4">
        <v>18000</v>
      </c>
      <c r="J959" s="4">
        <v>20600</v>
      </c>
      <c r="K959" t="s">
        <v>19</v>
      </c>
      <c r="L959" s="4">
        <f t="shared" si="42"/>
        <v>-2600</v>
      </c>
      <c r="M959" t="str">
        <f t="shared" si="43"/>
        <v>Over Budget</v>
      </c>
      <c r="N959">
        <f t="shared" ca="1" si="44"/>
        <v>980</v>
      </c>
    </row>
    <row r="960" spans="1:14" x14ac:dyDescent="0.25">
      <c r="A960" t="s">
        <v>109</v>
      </c>
      <c r="B960" t="s">
        <v>89</v>
      </c>
      <c r="C960" t="s">
        <v>87</v>
      </c>
      <c r="D960" t="s">
        <v>23</v>
      </c>
      <c r="E960" s="2">
        <v>45315</v>
      </c>
      <c r="F960" s="2">
        <v>45324</v>
      </c>
      <c r="G960" s="2">
        <v>45351</v>
      </c>
      <c r="H960" s="3">
        <v>1</v>
      </c>
      <c r="I960" s="4">
        <v>5000</v>
      </c>
      <c r="J960" s="4">
        <v>4400</v>
      </c>
      <c r="K960" t="s">
        <v>15</v>
      </c>
      <c r="L960" s="4">
        <f t="shared" si="42"/>
        <v>600</v>
      </c>
      <c r="M960" t="str">
        <f t="shared" si="43"/>
        <v>Within Budget</v>
      </c>
      <c r="N960">
        <f t="shared" ca="1" si="44"/>
        <v>27</v>
      </c>
    </row>
    <row r="961" spans="1:14" x14ac:dyDescent="0.25">
      <c r="A961" t="s">
        <v>33</v>
      </c>
      <c r="B961" t="s">
        <v>51</v>
      </c>
      <c r="C961" t="s">
        <v>87</v>
      </c>
      <c r="D961" t="s">
        <v>23</v>
      </c>
      <c r="E961" s="2">
        <v>45333</v>
      </c>
      <c r="F961" s="2">
        <v>45340</v>
      </c>
      <c r="G961" s="2">
        <v>45335</v>
      </c>
      <c r="H961" s="3">
        <v>0.2</v>
      </c>
      <c r="I961" s="4">
        <v>10000</v>
      </c>
      <c r="J961" s="4">
        <v>1300</v>
      </c>
      <c r="K961" t="s">
        <v>27</v>
      </c>
      <c r="L961" s="4">
        <f t="shared" si="42"/>
        <v>8700</v>
      </c>
      <c r="M961" t="str">
        <f t="shared" si="43"/>
        <v>Within Budget</v>
      </c>
      <c r="N961">
        <f t="shared" ca="1" si="44"/>
        <v>-5</v>
      </c>
    </row>
    <row r="962" spans="1:14" x14ac:dyDescent="0.25">
      <c r="A962" t="s">
        <v>42</v>
      </c>
      <c r="B962" t="s">
        <v>90</v>
      </c>
      <c r="C962" t="s">
        <v>111</v>
      </c>
      <c r="D962" t="s">
        <v>36</v>
      </c>
      <c r="E962" s="2">
        <v>45389</v>
      </c>
      <c r="F962" s="2">
        <v>45417</v>
      </c>
      <c r="G962" s="2">
        <v>45411</v>
      </c>
      <c r="H962" s="3">
        <v>1</v>
      </c>
      <c r="I962" s="4">
        <v>10000</v>
      </c>
      <c r="J962" s="4">
        <v>9400</v>
      </c>
      <c r="K962" t="s">
        <v>15</v>
      </c>
      <c r="L962" s="4">
        <f t="shared" si="42"/>
        <v>600</v>
      </c>
      <c r="M962" t="str">
        <f t="shared" si="43"/>
        <v>Within Budget</v>
      </c>
      <c r="N962">
        <f t="shared" ca="1" si="44"/>
        <v>-6</v>
      </c>
    </row>
    <row r="963" spans="1:14" x14ac:dyDescent="0.25">
      <c r="A963" t="s">
        <v>121</v>
      </c>
      <c r="B963" t="s">
        <v>78</v>
      </c>
      <c r="C963" t="s">
        <v>67</v>
      </c>
      <c r="D963" t="s">
        <v>23</v>
      </c>
      <c r="E963" s="2">
        <v>45530</v>
      </c>
      <c r="F963" s="2">
        <v>45538</v>
      </c>
      <c r="G963" s="2">
        <v>45533</v>
      </c>
      <c r="H963" s="3">
        <v>0.2</v>
      </c>
      <c r="I963" s="4">
        <v>11000</v>
      </c>
      <c r="J963" s="4">
        <v>1000</v>
      </c>
      <c r="K963" t="s">
        <v>27</v>
      </c>
      <c r="L963" s="4">
        <f t="shared" ref="L963:L1001" si="45">I963-J963</f>
        <v>10000</v>
      </c>
      <c r="M963" t="str">
        <f t="shared" ref="M963:M1001" si="46">IF(L963&lt;0, "Over Budget", "Within Budget")</f>
        <v>Within Budget</v>
      </c>
      <c r="N963">
        <f t="shared" ref="N963:N1001" ca="1" si="47">IF(G963="",TODAY()-F963,G963-F963)</f>
        <v>-5</v>
      </c>
    </row>
    <row r="964" spans="1:14" x14ac:dyDescent="0.25">
      <c r="A964" t="s">
        <v>91</v>
      </c>
      <c r="B964" t="s">
        <v>59</v>
      </c>
      <c r="C964" t="s">
        <v>105</v>
      </c>
      <c r="D964" t="s">
        <v>14</v>
      </c>
      <c r="E964" s="2">
        <v>45658</v>
      </c>
      <c r="F964" s="2">
        <v>45699</v>
      </c>
      <c r="G964" s="2"/>
      <c r="H964" s="3">
        <v>0.69</v>
      </c>
      <c r="I964" s="4">
        <v>95000</v>
      </c>
      <c r="J964" s="4">
        <v>72800</v>
      </c>
      <c r="K964" t="s">
        <v>19</v>
      </c>
      <c r="L964" s="4">
        <f t="shared" si="45"/>
        <v>22200</v>
      </c>
      <c r="M964" t="str">
        <f t="shared" si="46"/>
        <v>Within Budget</v>
      </c>
      <c r="N964">
        <f t="shared" ca="1" si="47"/>
        <v>587</v>
      </c>
    </row>
    <row r="965" spans="1:14" x14ac:dyDescent="0.25">
      <c r="A965" t="s">
        <v>37</v>
      </c>
      <c r="B965" t="s">
        <v>56</v>
      </c>
      <c r="C965" t="s">
        <v>97</v>
      </c>
      <c r="D965" t="s">
        <v>14</v>
      </c>
      <c r="E965" s="2">
        <v>45804</v>
      </c>
      <c r="F965" s="2">
        <v>45821</v>
      </c>
      <c r="G965" s="2"/>
      <c r="H965" s="3">
        <v>0</v>
      </c>
      <c r="I965" s="4">
        <v>27000</v>
      </c>
      <c r="J965" s="4">
        <v>0</v>
      </c>
      <c r="K965" t="s">
        <v>48</v>
      </c>
      <c r="L965" s="4">
        <f t="shared" si="45"/>
        <v>27000</v>
      </c>
      <c r="M965" t="str">
        <f t="shared" si="46"/>
        <v>Within Budget</v>
      </c>
      <c r="N965">
        <f t="shared" ca="1" si="47"/>
        <v>465</v>
      </c>
    </row>
    <row r="966" spans="1:14" x14ac:dyDescent="0.25">
      <c r="A966" t="s">
        <v>66</v>
      </c>
      <c r="B966" t="s">
        <v>73</v>
      </c>
      <c r="C966" t="s">
        <v>28</v>
      </c>
      <c r="D966" t="s">
        <v>36</v>
      </c>
      <c r="E966" s="2">
        <v>45573</v>
      </c>
      <c r="F966" s="2">
        <v>45618</v>
      </c>
      <c r="G966" s="2">
        <v>45610</v>
      </c>
      <c r="H966" s="3">
        <v>1</v>
      </c>
      <c r="I966" s="4">
        <v>94000</v>
      </c>
      <c r="J966" s="4">
        <v>114600</v>
      </c>
      <c r="K966" t="s">
        <v>15</v>
      </c>
      <c r="L966" s="4">
        <f t="shared" si="45"/>
        <v>-20600</v>
      </c>
      <c r="M966" t="str">
        <f t="shared" si="46"/>
        <v>Over Budget</v>
      </c>
      <c r="N966">
        <f t="shared" ca="1" si="47"/>
        <v>-8</v>
      </c>
    </row>
    <row r="967" spans="1:14" x14ac:dyDescent="0.25">
      <c r="A967" t="s">
        <v>83</v>
      </c>
      <c r="B967" t="s">
        <v>114</v>
      </c>
      <c r="C967" t="s">
        <v>111</v>
      </c>
      <c r="D967" t="s">
        <v>23</v>
      </c>
      <c r="E967" s="2">
        <v>45769</v>
      </c>
      <c r="F967" s="2">
        <v>45804</v>
      </c>
      <c r="G967" s="2"/>
      <c r="H967" s="3">
        <v>0.28000000000000003</v>
      </c>
      <c r="I967" s="4">
        <v>54000</v>
      </c>
      <c r="J967" s="4">
        <v>15700</v>
      </c>
      <c r="K967" t="s">
        <v>65</v>
      </c>
      <c r="L967" s="4">
        <f t="shared" si="45"/>
        <v>38300</v>
      </c>
      <c r="M967" t="str">
        <f t="shared" si="46"/>
        <v>Within Budget</v>
      </c>
      <c r="N967">
        <f t="shared" ca="1" si="47"/>
        <v>482</v>
      </c>
    </row>
    <row r="968" spans="1:14" x14ac:dyDescent="0.25">
      <c r="A968" t="s">
        <v>29</v>
      </c>
      <c r="B968" t="s">
        <v>89</v>
      </c>
      <c r="C968" t="s">
        <v>41</v>
      </c>
      <c r="D968" t="s">
        <v>36</v>
      </c>
      <c r="E968" s="2">
        <v>45625</v>
      </c>
      <c r="F968" s="2">
        <v>45640</v>
      </c>
      <c r="G968" s="2"/>
      <c r="H968" s="3">
        <v>0.5</v>
      </c>
      <c r="I968" s="4">
        <v>26000</v>
      </c>
      <c r="J968" s="4">
        <v>14900</v>
      </c>
      <c r="K968" t="s">
        <v>19</v>
      </c>
      <c r="L968" s="4">
        <f t="shared" si="45"/>
        <v>11100</v>
      </c>
      <c r="M968" t="str">
        <f t="shared" si="46"/>
        <v>Within Budget</v>
      </c>
      <c r="N968">
        <f t="shared" ca="1" si="47"/>
        <v>646</v>
      </c>
    </row>
    <row r="969" spans="1:14" x14ac:dyDescent="0.25">
      <c r="A969" t="s">
        <v>55</v>
      </c>
      <c r="B969" t="s">
        <v>82</v>
      </c>
      <c r="C969" t="s">
        <v>31</v>
      </c>
      <c r="D969" t="s">
        <v>14</v>
      </c>
      <c r="E969" s="2">
        <v>45631</v>
      </c>
      <c r="F969" s="2">
        <v>45653</v>
      </c>
      <c r="G969" s="2"/>
      <c r="H969" s="3">
        <v>0.39</v>
      </c>
      <c r="I969" s="4">
        <v>23000</v>
      </c>
      <c r="J969" s="4">
        <v>16000</v>
      </c>
      <c r="K969" t="s">
        <v>19</v>
      </c>
      <c r="L969" s="4">
        <f t="shared" si="45"/>
        <v>7000</v>
      </c>
      <c r="M969" t="str">
        <f t="shared" si="46"/>
        <v>Within Budget</v>
      </c>
      <c r="N969">
        <f t="shared" ca="1" si="47"/>
        <v>633</v>
      </c>
    </row>
    <row r="970" spans="1:14" x14ac:dyDescent="0.25">
      <c r="A970" t="s">
        <v>83</v>
      </c>
      <c r="B970" t="s">
        <v>92</v>
      </c>
      <c r="C970" t="s">
        <v>105</v>
      </c>
      <c r="D970" t="s">
        <v>14</v>
      </c>
      <c r="E970" s="2">
        <v>45523</v>
      </c>
      <c r="F970" s="2">
        <v>45554</v>
      </c>
      <c r="G970" s="2">
        <v>45562</v>
      </c>
      <c r="H970" s="3">
        <v>1</v>
      </c>
      <c r="I970" s="4">
        <v>100000</v>
      </c>
      <c r="J970" s="4">
        <v>129100</v>
      </c>
      <c r="K970" t="s">
        <v>15</v>
      </c>
      <c r="L970" s="4">
        <f t="shared" si="45"/>
        <v>-29100</v>
      </c>
      <c r="M970" t="str">
        <f t="shared" si="46"/>
        <v>Over Budget</v>
      </c>
      <c r="N970">
        <f t="shared" ca="1" si="47"/>
        <v>8</v>
      </c>
    </row>
    <row r="971" spans="1:14" x14ac:dyDescent="0.25">
      <c r="A971" t="s">
        <v>68</v>
      </c>
      <c r="B971" t="s">
        <v>58</v>
      </c>
      <c r="C971" t="s">
        <v>111</v>
      </c>
      <c r="D971" t="s">
        <v>23</v>
      </c>
      <c r="E971" s="2">
        <v>45776</v>
      </c>
      <c r="F971" s="2">
        <v>45794</v>
      </c>
      <c r="G971" s="2"/>
      <c r="H971" s="3">
        <v>0</v>
      </c>
      <c r="I971" s="4">
        <v>11000</v>
      </c>
      <c r="J971" s="4">
        <v>0</v>
      </c>
      <c r="K971" t="s">
        <v>48</v>
      </c>
      <c r="L971" s="4">
        <f t="shared" si="45"/>
        <v>11000</v>
      </c>
      <c r="M971" t="str">
        <f t="shared" si="46"/>
        <v>Within Budget</v>
      </c>
      <c r="N971">
        <f t="shared" ca="1" si="47"/>
        <v>492</v>
      </c>
    </row>
    <row r="972" spans="1:14" x14ac:dyDescent="0.25">
      <c r="A972" t="s">
        <v>99</v>
      </c>
      <c r="B972" t="s">
        <v>43</v>
      </c>
      <c r="C972" t="s">
        <v>52</v>
      </c>
      <c r="D972" t="s">
        <v>23</v>
      </c>
      <c r="E972" s="2">
        <v>45826</v>
      </c>
      <c r="F972" s="2">
        <v>45856</v>
      </c>
      <c r="G972" s="2"/>
      <c r="H972" s="3">
        <v>0</v>
      </c>
      <c r="I972" s="4">
        <v>24000</v>
      </c>
      <c r="J972" s="4">
        <v>0</v>
      </c>
      <c r="K972" t="s">
        <v>48</v>
      </c>
      <c r="L972" s="4">
        <f t="shared" si="45"/>
        <v>24000</v>
      </c>
      <c r="M972" t="str">
        <f t="shared" si="46"/>
        <v>Within Budget</v>
      </c>
      <c r="N972">
        <f t="shared" ca="1" si="47"/>
        <v>430</v>
      </c>
    </row>
    <row r="973" spans="1:14" x14ac:dyDescent="0.25">
      <c r="A973" t="s">
        <v>37</v>
      </c>
      <c r="B973" t="s">
        <v>115</v>
      </c>
      <c r="C973" t="s">
        <v>113</v>
      </c>
      <c r="D973" t="s">
        <v>14</v>
      </c>
      <c r="E973" s="2">
        <v>45718</v>
      </c>
      <c r="F973" s="2">
        <v>45734</v>
      </c>
      <c r="G973" s="2"/>
      <c r="H973" s="3">
        <v>0.77</v>
      </c>
      <c r="I973" s="4">
        <v>24000</v>
      </c>
      <c r="J973" s="4">
        <v>24400</v>
      </c>
      <c r="K973" t="s">
        <v>19</v>
      </c>
      <c r="L973" s="4">
        <f t="shared" si="45"/>
        <v>-400</v>
      </c>
      <c r="M973" t="str">
        <f t="shared" si="46"/>
        <v>Over Budget</v>
      </c>
      <c r="N973">
        <f t="shared" ca="1" si="47"/>
        <v>552</v>
      </c>
    </row>
    <row r="974" spans="1:14" x14ac:dyDescent="0.25">
      <c r="A974" t="s">
        <v>37</v>
      </c>
      <c r="B974" t="s">
        <v>46</v>
      </c>
      <c r="C974" t="s">
        <v>71</v>
      </c>
      <c r="D974" t="s">
        <v>23</v>
      </c>
      <c r="E974" s="2">
        <v>45790</v>
      </c>
      <c r="F974" s="2">
        <v>45825</v>
      </c>
      <c r="G974" s="2"/>
      <c r="H974" s="3">
        <v>0.51</v>
      </c>
      <c r="I974" s="4">
        <v>51000</v>
      </c>
      <c r="J974" s="4">
        <v>27700</v>
      </c>
      <c r="K974" t="s">
        <v>65</v>
      </c>
      <c r="L974" s="4">
        <f t="shared" si="45"/>
        <v>23300</v>
      </c>
      <c r="M974" t="str">
        <f t="shared" si="46"/>
        <v>Within Budget</v>
      </c>
      <c r="N974">
        <f t="shared" ca="1" si="47"/>
        <v>461</v>
      </c>
    </row>
    <row r="975" spans="1:14" x14ac:dyDescent="0.25">
      <c r="A975" t="s">
        <v>57</v>
      </c>
      <c r="B975" t="s">
        <v>59</v>
      </c>
      <c r="C975" t="s">
        <v>47</v>
      </c>
      <c r="D975" t="s">
        <v>14</v>
      </c>
      <c r="E975" s="2">
        <v>45470</v>
      </c>
      <c r="F975" s="2">
        <v>45507</v>
      </c>
      <c r="G975" s="2">
        <v>45538</v>
      </c>
      <c r="H975" s="3">
        <v>1</v>
      </c>
      <c r="I975" s="4">
        <v>36000</v>
      </c>
      <c r="J975" s="4">
        <v>36900</v>
      </c>
      <c r="K975" t="s">
        <v>15</v>
      </c>
      <c r="L975" s="4">
        <f t="shared" si="45"/>
        <v>-900</v>
      </c>
      <c r="M975" t="str">
        <f t="shared" si="46"/>
        <v>Over Budget</v>
      </c>
      <c r="N975">
        <f t="shared" ca="1" si="47"/>
        <v>31</v>
      </c>
    </row>
    <row r="976" spans="1:14" x14ac:dyDescent="0.25">
      <c r="A976" t="s">
        <v>42</v>
      </c>
      <c r="B976" t="s">
        <v>117</v>
      </c>
      <c r="C976" t="s">
        <v>18</v>
      </c>
      <c r="D976" t="s">
        <v>23</v>
      </c>
      <c r="E976" s="2">
        <v>45380</v>
      </c>
      <c r="F976" s="2">
        <v>45400</v>
      </c>
      <c r="G976" s="2">
        <v>45428</v>
      </c>
      <c r="H976" s="3">
        <v>1</v>
      </c>
      <c r="I976" s="4">
        <v>20000</v>
      </c>
      <c r="J976" s="4">
        <v>20500</v>
      </c>
      <c r="K976" t="s">
        <v>15</v>
      </c>
      <c r="L976" s="4">
        <f t="shared" si="45"/>
        <v>-500</v>
      </c>
      <c r="M976" t="str">
        <f t="shared" si="46"/>
        <v>Over Budget</v>
      </c>
      <c r="N976">
        <f t="shared" ca="1" si="47"/>
        <v>28</v>
      </c>
    </row>
    <row r="977" spans="1:14" x14ac:dyDescent="0.25">
      <c r="A977" t="s">
        <v>99</v>
      </c>
      <c r="B977" t="s">
        <v>92</v>
      </c>
      <c r="C977" t="s">
        <v>18</v>
      </c>
      <c r="D977" t="s">
        <v>23</v>
      </c>
      <c r="E977" s="2">
        <v>45774</v>
      </c>
      <c r="F977" s="2">
        <v>45799</v>
      </c>
      <c r="G977" s="2"/>
      <c r="H977" s="3">
        <v>0</v>
      </c>
      <c r="I977" s="4">
        <v>29000</v>
      </c>
      <c r="J977" s="4">
        <v>0</v>
      </c>
      <c r="K977" t="s">
        <v>48</v>
      </c>
      <c r="L977" s="4">
        <f t="shared" si="45"/>
        <v>29000</v>
      </c>
      <c r="M977" t="str">
        <f t="shared" si="46"/>
        <v>Within Budget</v>
      </c>
      <c r="N977">
        <f t="shared" ca="1" si="47"/>
        <v>487</v>
      </c>
    </row>
    <row r="978" spans="1:14" x14ac:dyDescent="0.25">
      <c r="A978" t="s">
        <v>45</v>
      </c>
      <c r="B978" t="s">
        <v>117</v>
      </c>
      <c r="C978" t="s">
        <v>22</v>
      </c>
      <c r="D978" t="s">
        <v>14</v>
      </c>
      <c r="E978" s="2">
        <v>45498</v>
      </c>
      <c r="F978" s="2">
        <v>45529</v>
      </c>
      <c r="G978" s="2">
        <v>45532</v>
      </c>
      <c r="H978" s="3">
        <v>1</v>
      </c>
      <c r="I978" s="4">
        <v>53000</v>
      </c>
      <c r="J978" s="4">
        <v>46400</v>
      </c>
      <c r="K978" t="s">
        <v>15</v>
      </c>
      <c r="L978" s="4">
        <f t="shared" si="45"/>
        <v>6600</v>
      </c>
      <c r="M978" t="str">
        <f t="shared" si="46"/>
        <v>Within Budget</v>
      </c>
      <c r="N978">
        <f t="shared" ca="1" si="47"/>
        <v>3</v>
      </c>
    </row>
    <row r="979" spans="1:14" x14ac:dyDescent="0.25">
      <c r="A979" t="s">
        <v>107</v>
      </c>
      <c r="B979" t="s">
        <v>110</v>
      </c>
      <c r="C979" t="s">
        <v>35</v>
      </c>
      <c r="D979" t="s">
        <v>23</v>
      </c>
      <c r="E979" s="2">
        <v>45738</v>
      </c>
      <c r="F979" s="2">
        <v>45770</v>
      </c>
      <c r="G979" s="2"/>
      <c r="H979" s="3">
        <v>0.59</v>
      </c>
      <c r="I979" s="4">
        <v>61000</v>
      </c>
      <c r="J979" s="4">
        <v>35900</v>
      </c>
      <c r="K979" t="s">
        <v>65</v>
      </c>
      <c r="L979" s="4">
        <f t="shared" si="45"/>
        <v>25100</v>
      </c>
      <c r="M979" t="str">
        <f t="shared" si="46"/>
        <v>Within Budget</v>
      </c>
      <c r="N979">
        <f t="shared" ca="1" si="47"/>
        <v>516</v>
      </c>
    </row>
    <row r="980" spans="1:14" x14ac:dyDescent="0.25">
      <c r="A980" t="s">
        <v>107</v>
      </c>
      <c r="B980" t="s">
        <v>119</v>
      </c>
      <c r="C980" t="s">
        <v>35</v>
      </c>
      <c r="D980" t="s">
        <v>23</v>
      </c>
      <c r="E980" s="2">
        <v>45737</v>
      </c>
      <c r="F980" s="2">
        <v>45772</v>
      </c>
      <c r="G980" s="2"/>
      <c r="H980" s="3">
        <v>0.11</v>
      </c>
      <c r="I980" s="4">
        <v>32000</v>
      </c>
      <c r="J980" s="4">
        <v>2900</v>
      </c>
      <c r="K980" t="s">
        <v>65</v>
      </c>
      <c r="L980" s="4">
        <f t="shared" si="45"/>
        <v>29100</v>
      </c>
      <c r="M980" t="str">
        <f t="shared" si="46"/>
        <v>Within Budget</v>
      </c>
      <c r="N980">
        <f t="shared" ca="1" si="47"/>
        <v>514</v>
      </c>
    </row>
    <row r="981" spans="1:14" x14ac:dyDescent="0.25">
      <c r="A981" t="s">
        <v>37</v>
      </c>
      <c r="B981" t="s">
        <v>63</v>
      </c>
      <c r="C981" t="s">
        <v>60</v>
      </c>
      <c r="D981" t="s">
        <v>36</v>
      </c>
      <c r="E981" s="2">
        <v>45658</v>
      </c>
      <c r="F981" s="2">
        <v>45672</v>
      </c>
      <c r="G981" s="2"/>
      <c r="H981" s="3">
        <v>0.63</v>
      </c>
      <c r="I981" s="4">
        <v>23000</v>
      </c>
      <c r="J981" s="4">
        <v>13200</v>
      </c>
      <c r="K981" t="s">
        <v>19</v>
      </c>
      <c r="L981" s="4">
        <f t="shared" si="45"/>
        <v>9800</v>
      </c>
      <c r="M981" t="str">
        <f t="shared" si="46"/>
        <v>Within Budget</v>
      </c>
      <c r="N981">
        <f t="shared" ca="1" si="47"/>
        <v>614</v>
      </c>
    </row>
    <row r="982" spans="1:14" x14ac:dyDescent="0.25">
      <c r="A982" t="s">
        <v>45</v>
      </c>
      <c r="B982" t="s">
        <v>123</v>
      </c>
      <c r="C982" t="s">
        <v>22</v>
      </c>
      <c r="D982" t="s">
        <v>32</v>
      </c>
      <c r="E982" s="2">
        <v>45312</v>
      </c>
      <c r="F982" s="2">
        <v>45363</v>
      </c>
      <c r="G982" s="2">
        <v>45368</v>
      </c>
      <c r="H982" s="3">
        <v>1</v>
      </c>
      <c r="I982" s="4">
        <v>53000</v>
      </c>
      <c r="J982" s="4">
        <v>72400</v>
      </c>
      <c r="K982" t="s">
        <v>15</v>
      </c>
      <c r="L982" s="4">
        <f t="shared" si="45"/>
        <v>-19400</v>
      </c>
      <c r="M982" t="str">
        <f t="shared" si="46"/>
        <v>Over Budget</v>
      </c>
      <c r="N982">
        <f t="shared" ca="1" si="47"/>
        <v>5</v>
      </c>
    </row>
    <row r="983" spans="1:14" x14ac:dyDescent="0.25">
      <c r="A983" t="s">
        <v>91</v>
      </c>
      <c r="B983" t="s">
        <v>93</v>
      </c>
      <c r="C983" t="s">
        <v>39</v>
      </c>
      <c r="D983" t="s">
        <v>36</v>
      </c>
      <c r="E983" s="2">
        <v>45402</v>
      </c>
      <c r="F983" s="2">
        <v>45414</v>
      </c>
      <c r="G983" s="2"/>
      <c r="H983" s="3">
        <v>0.33</v>
      </c>
      <c r="I983" s="4">
        <v>16000</v>
      </c>
      <c r="J983" s="4">
        <v>20100</v>
      </c>
      <c r="K983" t="s">
        <v>19</v>
      </c>
      <c r="L983" s="4">
        <f t="shared" si="45"/>
        <v>-4100</v>
      </c>
      <c r="M983" t="str">
        <f t="shared" si="46"/>
        <v>Over Budget</v>
      </c>
      <c r="N983">
        <f t="shared" ca="1" si="47"/>
        <v>872</v>
      </c>
    </row>
    <row r="984" spans="1:14" x14ac:dyDescent="0.25">
      <c r="A984" t="s">
        <v>77</v>
      </c>
      <c r="B984" t="s">
        <v>102</v>
      </c>
      <c r="C984" t="s">
        <v>35</v>
      </c>
      <c r="D984" t="s">
        <v>36</v>
      </c>
      <c r="E984" s="2">
        <v>45771</v>
      </c>
      <c r="F984" s="2">
        <v>45781</v>
      </c>
      <c r="G984" s="2"/>
      <c r="H984" s="3">
        <v>0</v>
      </c>
      <c r="I984" s="4">
        <v>3000</v>
      </c>
      <c r="J984" s="4">
        <v>0</v>
      </c>
      <c r="K984" t="s">
        <v>48</v>
      </c>
      <c r="L984" s="4">
        <f t="shared" si="45"/>
        <v>3000</v>
      </c>
      <c r="M984" t="str">
        <f t="shared" si="46"/>
        <v>Within Budget</v>
      </c>
      <c r="N984">
        <f t="shared" ca="1" si="47"/>
        <v>505</v>
      </c>
    </row>
    <row r="985" spans="1:14" x14ac:dyDescent="0.25">
      <c r="A985" t="s">
        <v>121</v>
      </c>
      <c r="B985" t="s">
        <v>80</v>
      </c>
      <c r="C985" t="s">
        <v>61</v>
      </c>
      <c r="D985" t="s">
        <v>23</v>
      </c>
      <c r="E985" s="2">
        <v>45704</v>
      </c>
      <c r="F985" s="2">
        <v>45713</v>
      </c>
      <c r="G985" s="2"/>
      <c r="H985" s="3">
        <v>0.71</v>
      </c>
      <c r="I985" s="4">
        <v>3000</v>
      </c>
      <c r="J985" s="4">
        <v>1900</v>
      </c>
      <c r="K985" t="s">
        <v>19</v>
      </c>
      <c r="L985" s="4">
        <f t="shared" si="45"/>
        <v>1100</v>
      </c>
      <c r="M985" t="str">
        <f t="shared" si="46"/>
        <v>Within Budget</v>
      </c>
      <c r="N985">
        <f t="shared" ca="1" si="47"/>
        <v>573</v>
      </c>
    </row>
    <row r="986" spans="1:14" x14ac:dyDescent="0.25">
      <c r="A986" t="s">
        <v>66</v>
      </c>
      <c r="B986" t="s">
        <v>95</v>
      </c>
      <c r="C986" t="s">
        <v>71</v>
      </c>
      <c r="D986" t="s">
        <v>23</v>
      </c>
      <c r="E986" s="2">
        <v>45757</v>
      </c>
      <c r="F986" s="2">
        <v>45787</v>
      </c>
      <c r="G986" s="2"/>
      <c r="H986" s="3">
        <v>0</v>
      </c>
      <c r="I986" s="4">
        <v>10000</v>
      </c>
      <c r="J986" s="4">
        <v>0</v>
      </c>
      <c r="K986" t="s">
        <v>48</v>
      </c>
      <c r="L986" s="4">
        <f t="shared" si="45"/>
        <v>10000</v>
      </c>
      <c r="M986" t="str">
        <f t="shared" si="46"/>
        <v>Within Budget</v>
      </c>
      <c r="N986">
        <f t="shared" ca="1" si="47"/>
        <v>499</v>
      </c>
    </row>
    <row r="987" spans="1:14" x14ac:dyDescent="0.25">
      <c r="A987" t="s">
        <v>99</v>
      </c>
      <c r="B987" t="s">
        <v>119</v>
      </c>
      <c r="C987" t="s">
        <v>54</v>
      </c>
      <c r="D987" t="s">
        <v>36</v>
      </c>
      <c r="E987" s="2">
        <v>45802</v>
      </c>
      <c r="F987" s="2">
        <v>45833</v>
      </c>
      <c r="G987" s="2"/>
      <c r="H987" s="3">
        <v>0</v>
      </c>
      <c r="I987" s="4">
        <v>82000</v>
      </c>
      <c r="J987" s="4">
        <v>0</v>
      </c>
      <c r="K987" t="s">
        <v>48</v>
      </c>
      <c r="L987" s="4">
        <f t="shared" si="45"/>
        <v>82000</v>
      </c>
      <c r="M987" t="str">
        <f t="shared" si="46"/>
        <v>Within Budget</v>
      </c>
      <c r="N987">
        <f t="shared" ca="1" si="47"/>
        <v>453</v>
      </c>
    </row>
    <row r="988" spans="1:14" x14ac:dyDescent="0.25">
      <c r="A988" t="s">
        <v>57</v>
      </c>
      <c r="B988" t="s">
        <v>124</v>
      </c>
      <c r="C988" t="s">
        <v>39</v>
      </c>
      <c r="D988" t="s">
        <v>23</v>
      </c>
      <c r="E988" s="2">
        <v>45605</v>
      </c>
      <c r="F988" s="2">
        <v>45634</v>
      </c>
      <c r="G988" s="2">
        <v>45636</v>
      </c>
      <c r="H988" s="3">
        <v>1</v>
      </c>
      <c r="I988" s="4">
        <v>31000</v>
      </c>
      <c r="J988" s="4">
        <v>29600</v>
      </c>
      <c r="K988" t="s">
        <v>15</v>
      </c>
      <c r="L988" s="4">
        <f t="shared" si="45"/>
        <v>1400</v>
      </c>
      <c r="M988" t="str">
        <f t="shared" si="46"/>
        <v>Within Budget</v>
      </c>
      <c r="N988">
        <f t="shared" ca="1" si="47"/>
        <v>2</v>
      </c>
    </row>
    <row r="989" spans="1:14" x14ac:dyDescent="0.25">
      <c r="A989" t="s">
        <v>72</v>
      </c>
      <c r="B989" t="s">
        <v>56</v>
      </c>
      <c r="C989" t="s">
        <v>112</v>
      </c>
      <c r="D989" t="s">
        <v>36</v>
      </c>
      <c r="E989" s="2">
        <v>45686</v>
      </c>
      <c r="F989" s="2">
        <v>45721</v>
      </c>
      <c r="G989" s="2">
        <v>45766</v>
      </c>
      <c r="H989" s="3">
        <v>1</v>
      </c>
      <c r="I989" s="4">
        <v>48000</v>
      </c>
      <c r="J989" s="4">
        <v>50200</v>
      </c>
      <c r="K989" t="s">
        <v>15</v>
      </c>
      <c r="L989" s="4">
        <f t="shared" si="45"/>
        <v>-2200</v>
      </c>
      <c r="M989" t="str">
        <f t="shared" si="46"/>
        <v>Over Budget</v>
      </c>
      <c r="N989">
        <f t="shared" ca="1" si="47"/>
        <v>45</v>
      </c>
    </row>
    <row r="990" spans="1:14" x14ac:dyDescent="0.25">
      <c r="A990" t="s">
        <v>55</v>
      </c>
      <c r="B990" t="s">
        <v>51</v>
      </c>
      <c r="C990" t="s">
        <v>105</v>
      </c>
      <c r="D990" t="s">
        <v>14</v>
      </c>
      <c r="E990" s="2">
        <v>45551</v>
      </c>
      <c r="F990" s="2">
        <v>45575</v>
      </c>
      <c r="G990" s="2">
        <v>45563</v>
      </c>
      <c r="H990" s="3">
        <v>0.15</v>
      </c>
      <c r="I990" s="4">
        <v>17000</v>
      </c>
      <c r="J990" s="4">
        <v>4800</v>
      </c>
      <c r="K990" t="s">
        <v>27</v>
      </c>
      <c r="L990" s="4">
        <f t="shared" si="45"/>
        <v>12200</v>
      </c>
      <c r="M990" t="str">
        <f t="shared" si="46"/>
        <v>Within Budget</v>
      </c>
      <c r="N990">
        <f t="shared" ca="1" si="47"/>
        <v>-12</v>
      </c>
    </row>
    <row r="991" spans="1:14" x14ac:dyDescent="0.25">
      <c r="A991" t="s">
        <v>68</v>
      </c>
      <c r="B991" t="s">
        <v>115</v>
      </c>
      <c r="C991" t="s">
        <v>71</v>
      </c>
      <c r="D991" t="s">
        <v>23</v>
      </c>
      <c r="E991" s="2">
        <v>45621</v>
      </c>
      <c r="F991" s="2">
        <v>45649</v>
      </c>
      <c r="G991" s="2"/>
      <c r="H991" s="3">
        <v>0.3</v>
      </c>
      <c r="I991" s="4">
        <v>30000</v>
      </c>
      <c r="J991" s="4">
        <v>27900</v>
      </c>
      <c r="K991" t="s">
        <v>19</v>
      </c>
      <c r="L991" s="4">
        <f t="shared" si="45"/>
        <v>2100</v>
      </c>
      <c r="M991" t="str">
        <f t="shared" si="46"/>
        <v>Within Budget</v>
      </c>
      <c r="N991">
        <f t="shared" ca="1" si="47"/>
        <v>637</v>
      </c>
    </row>
    <row r="992" spans="1:14" x14ac:dyDescent="0.25">
      <c r="A992" t="s">
        <v>91</v>
      </c>
      <c r="B992" t="s">
        <v>95</v>
      </c>
      <c r="C992" t="s">
        <v>106</v>
      </c>
      <c r="D992" t="s">
        <v>14</v>
      </c>
      <c r="E992" s="2">
        <v>45614</v>
      </c>
      <c r="F992" s="2">
        <v>45635</v>
      </c>
      <c r="G992" s="2">
        <v>45617</v>
      </c>
      <c r="H992" s="3">
        <v>0.3</v>
      </c>
      <c r="I992" s="4">
        <v>49000</v>
      </c>
      <c r="J992" s="4">
        <v>18000</v>
      </c>
      <c r="K992" t="s">
        <v>27</v>
      </c>
      <c r="L992" s="4">
        <f t="shared" si="45"/>
        <v>31000</v>
      </c>
      <c r="M992" t="str">
        <f t="shared" si="46"/>
        <v>Within Budget</v>
      </c>
      <c r="N992">
        <f t="shared" ca="1" si="47"/>
        <v>-18</v>
      </c>
    </row>
    <row r="993" spans="1:14" x14ac:dyDescent="0.25">
      <c r="A993" t="s">
        <v>37</v>
      </c>
      <c r="B993" t="s">
        <v>21</v>
      </c>
      <c r="C993" t="s">
        <v>31</v>
      </c>
      <c r="D993" t="s">
        <v>36</v>
      </c>
      <c r="E993" s="2">
        <v>45776</v>
      </c>
      <c r="F993" s="2">
        <v>45805</v>
      </c>
      <c r="G993" s="2"/>
      <c r="H993" s="3">
        <v>0</v>
      </c>
      <c r="I993" s="4">
        <v>21000</v>
      </c>
      <c r="J993" s="4">
        <v>0</v>
      </c>
      <c r="K993" t="s">
        <v>48</v>
      </c>
      <c r="L993" s="4">
        <f t="shared" si="45"/>
        <v>21000</v>
      </c>
      <c r="M993" t="str">
        <f t="shared" si="46"/>
        <v>Within Budget</v>
      </c>
      <c r="N993">
        <f t="shared" ca="1" si="47"/>
        <v>481</v>
      </c>
    </row>
    <row r="994" spans="1:14" x14ac:dyDescent="0.25">
      <c r="A994" t="s">
        <v>16</v>
      </c>
      <c r="B994" t="s">
        <v>88</v>
      </c>
      <c r="C994" t="s">
        <v>111</v>
      </c>
      <c r="D994" t="s">
        <v>36</v>
      </c>
      <c r="E994" s="2">
        <v>45727</v>
      </c>
      <c r="F994" s="2">
        <v>45748</v>
      </c>
      <c r="G994" s="2"/>
      <c r="H994" s="3">
        <v>0.39</v>
      </c>
      <c r="I994" s="4">
        <v>10000</v>
      </c>
      <c r="J994" s="4">
        <v>4500</v>
      </c>
      <c r="K994" t="s">
        <v>65</v>
      </c>
      <c r="L994" s="4">
        <f t="shared" si="45"/>
        <v>5500</v>
      </c>
      <c r="M994" t="str">
        <f t="shared" si="46"/>
        <v>Within Budget</v>
      </c>
      <c r="N994">
        <f t="shared" ca="1" si="47"/>
        <v>538</v>
      </c>
    </row>
    <row r="995" spans="1:14" x14ac:dyDescent="0.25">
      <c r="A995" t="s">
        <v>33</v>
      </c>
      <c r="B995" t="s">
        <v>122</v>
      </c>
      <c r="C995" t="s">
        <v>54</v>
      </c>
      <c r="D995" t="s">
        <v>36</v>
      </c>
      <c r="E995" s="2">
        <v>45617</v>
      </c>
      <c r="F995" s="2">
        <v>45642</v>
      </c>
      <c r="G995" s="2">
        <v>45648</v>
      </c>
      <c r="H995" s="3">
        <v>1</v>
      </c>
      <c r="I995" s="4">
        <v>21000</v>
      </c>
      <c r="J995" s="4">
        <v>28100</v>
      </c>
      <c r="K995" t="s">
        <v>15</v>
      </c>
      <c r="L995" s="4">
        <f t="shared" si="45"/>
        <v>-7100</v>
      </c>
      <c r="M995" t="str">
        <f t="shared" si="46"/>
        <v>Over Budget</v>
      </c>
      <c r="N995">
        <f t="shared" ca="1" si="47"/>
        <v>6</v>
      </c>
    </row>
    <row r="996" spans="1:14" x14ac:dyDescent="0.25">
      <c r="A996" t="s">
        <v>118</v>
      </c>
      <c r="B996" t="s">
        <v>85</v>
      </c>
      <c r="C996" t="s">
        <v>71</v>
      </c>
      <c r="D996" t="s">
        <v>36</v>
      </c>
      <c r="E996" s="2">
        <v>45598</v>
      </c>
      <c r="F996" s="2">
        <v>45622</v>
      </c>
      <c r="G996" s="2">
        <v>45622</v>
      </c>
      <c r="H996" s="3">
        <v>1</v>
      </c>
      <c r="I996" s="4">
        <v>43000</v>
      </c>
      <c r="J996" s="4">
        <v>44900</v>
      </c>
      <c r="K996" t="s">
        <v>15</v>
      </c>
      <c r="L996" s="4">
        <f t="shared" si="45"/>
        <v>-1900</v>
      </c>
      <c r="M996" t="str">
        <f t="shared" si="46"/>
        <v>Over Budget</v>
      </c>
      <c r="N996">
        <f t="shared" ca="1" si="47"/>
        <v>0</v>
      </c>
    </row>
    <row r="997" spans="1:14" x14ac:dyDescent="0.25">
      <c r="A997" t="s">
        <v>121</v>
      </c>
      <c r="B997" t="s">
        <v>64</v>
      </c>
      <c r="C997" t="s">
        <v>44</v>
      </c>
      <c r="D997" t="s">
        <v>32</v>
      </c>
      <c r="E997" s="2">
        <v>45733</v>
      </c>
      <c r="F997" s="2">
        <v>45760</v>
      </c>
      <c r="G997" s="2"/>
      <c r="H997" s="3">
        <v>0</v>
      </c>
      <c r="I997" s="4">
        <v>37000</v>
      </c>
      <c r="J997" s="4">
        <v>0</v>
      </c>
      <c r="K997" t="s">
        <v>48</v>
      </c>
      <c r="L997" s="4">
        <f t="shared" si="45"/>
        <v>37000</v>
      </c>
      <c r="M997" t="str">
        <f t="shared" si="46"/>
        <v>Within Budget</v>
      </c>
      <c r="N997">
        <f t="shared" ca="1" si="47"/>
        <v>526</v>
      </c>
    </row>
    <row r="998" spans="1:14" x14ac:dyDescent="0.25">
      <c r="A998" t="s">
        <v>29</v>
      </c>
      <c r="B998" t="s">
        <v>125</v>
      </c>
      <c r="C998" t="s">
        <v>39</v>
      </c>
      <c r="D998" t="s">
        <v>14</v>
      </c>
      <c r="E998" s="2">
        <v>45555</v>
      </c>
      <c r="F998" s="2">
        <v>45570</v>
      </c>
      <c r="G998" s="2"/>
      <c r="H998" s="3">
        <v>0.75</v>
      </c>
      <c r="I998" s="4">
        <v>39000</v>
      </c>
      <c r="J998" s="4">
        <v>41200</v>
      </c>
      <c r="K998" t="s">
        <v>19</v>
      </c>
      <c r="L998" s="4">
        <f t="shared" si="45"/>
        <v>-2200</v>
      </c>
      <c r="M998" t="str">
        <f t="shared" si="46"/>
        <v>Over Budget</v>
      </c>
      <c r="N998">
        <f t="shared" ca="1" si="47"/>
        <v>716</v>
      </c>
    </row>
    <row r="999" spans="1:14" x14ac:dyDescent="0.25">
      <c r="A999" t="s">
        <v>16</v>
      </c>
      <c r="B999" t="s">
        <v>59</v>
      </c>
      <c r="C999" t="s">
        <v>28</v>
      </c>
      <c r="D999" t="s">
        <v>14</v>
      </c>
      <c r="E999" s="2">
        <v>45793</v>
      </c>
      <c r="F999" s="2">
        <v>45827</v>
      </c>
      <c r="G999" s="2"/>
      <c r="H999" s="3">
        <v>0</v>
      </c>
      <c r="I999" s="4">
        <v>96000</v>
      </c>
      <c r="J999" s="4">
        <v>0</v>
      </c>
      <c r="K999" t="s">
        <v>48</v>
      </c>
      <c r="L999" s="4">
        <f t="shared" si="45"/>
        <v>96000</v>
      </c>
      <c r="M999" t="str">
        <f t="shared" si="46"/>
        <v>Within Budget</v>
      </c>
      <c r="N999">
        <f t="shared" ca="1" si="47"/>
        <v>459</v>
      </c>
    </row>
    <row r="1000" spans="1:14" x14ac:dyDescent="0.25">
      <c r="A1000" t="s">
        <v>16</v>
      </c>
      <c r="B1000" t="s">
        <v>108</v>
      </c>
      <c r="C1000" t="s">
        <v>113</v>
      </c>
      <c r="D1000" t="s">
        <v>32</v>
      </c>
      <c r="E1000" s="2">
        <v>45519</v>
      </c>
      <c r="F1000" s="2">
        <v>45527</v>
      </c>
      <c r="G1000" s="2">
        <v>45535</v>
      </c>
      <c r="H1000" s="3">
        <v>1</v>
      </c>
      <c r="I1000" s="4">
        <v>11000</v>
      </c>
      <c r="J1000" s="4">
        <v>12500</v>
      </c>
      <c r="K1000" t="s">
        <v>15</v>
      </c>
      <c r="L1000" s="4">
        <f t="shared" si="45"/>
        <v>-1500</v>
      </c>
      <c r="M1000" t="str">
        <f t="shared" si="46"/>
        <v>Over Budget</v>
      </c>
      <c r="N1000">
        <f t="shared" ca="1" si="47"/>
        <v>8</v>
      </c>
    </row>
    <row r="1001" spans="1:14" x14ac:dyDescent="0.25">
      <c r="A1001" t="s">
        <v>50</v>
      </c>
      <c r="B1001" t="s">
        <v>51</v>
      </c>
      <c r="C1001" t="s">
        <v>28</v>
      </c>
      <c r="D1001" t="s">
        <v>23</v>
      </c>
      <c r="E1001" s="2">
        <v>45564</v>
      </c>
      <c r="F1001" s="2">
        <v>45587</v>
      </c>
      <c r="G1001" s="2">
        <v>45605</v>
      </c>
      <c r="H1001" s="3">
        <v>1</v>
      </c>
      <c r="I1001" s="4">
        <v>10000</v>
      </c>
      <c r="J1001" s="4">
        <v>12200</v>
      </c>
      <c r="K1001" t="s">
        <v>15</v>
      </c>
      <c r="L1001" s="4">
        <f t="shared" si="45"/>
        <v>-2200</v>
      </c>
      <c r="M1001" t="str">
        <f t="shared" si="46"/>
        <v>Over Budget</v>
      </c>
      <c r="N1001">
        <f t="shared" ca="1" si="47"/>
        <v>18</v>
      </c>
    </row>
  </sheetData>
  <conditionalFormatting sqref="L1:L1048576">
    <cfRule type="cellIs" dxfId="0" priority="1" operator="lessThan">
      <formula>0</formula>
    </cfRule>
  </conditionalFormatting>
  <pageMargins left="0.7" right="0.7" top="0.75" bottom="0.75" header="0.3" footer="0.3"/>
  <pageSetup paperSize="12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Project 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Zicong Yu</cp:lastModifiedBy>
  <dcterms:created xsi:type="dcterms:W3CDTF">2026-03-11T02:30:32Z</dcterms:created>
  <dcterms:modified xsi:type="dcterms:W3CDTF">2026-09-21T23:34:01Z</dcterms:modified>
</cp:coreProperties>
</file>